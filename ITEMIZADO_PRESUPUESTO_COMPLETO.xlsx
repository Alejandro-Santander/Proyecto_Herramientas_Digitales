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 Santander\ProyectoIA\Proyecto_Herramientas_Digitales\"/>
    </mc:Choice>
  </mc:AlternateContent>
  <xr:revisionPtr revIDLastSave="0" documentId="8_{647958A7-AF8D-4145-9DAA-90508EFC9BEF}" xr6:coauthVersionLast="47" xr6:coauthVersionMax="47" xr10:uidLastSave="{00000000-0000-0000-0000-000000000000}"/>
  <bookViews>
    <workbookView xWindow="-120" yWindow="-120" windowWidth="20730" windowHeight="11040" xr2:uid="{00FFBE97-A2DC-4C4D-B25C-C4836CA08A76}"/>
  </bookViews>
  <sheets>
    <sheet name="Formulario Oficial" sheetId="1" r:id="rId1"/>
  </sheets>
  <externalReferences>
    <externalReference r:id="rId2"/>
  </externalReferences>
  <definedNames>
    <definedName name="_xlnm._FilterDatabase" localSheetId="0" hidden="1">'Formulario Oficial'!$A$6:$F$382</definedName>
    <definedName name="_xlnm.Print_Area" localSheetId="0">'Formulario Oficial'!$A$1:$F$392</definedName>
    <definedName name="Excel_BuiltIn_Print_Area_1_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9" i="1" l="1"/>
  <c r="F388" i="1"/>
  <c r="F387" i="1"/>
  <c r="F386" i="1"/>
  <c r="F385" i="1"/>
  <c r="F384" i="1"/>
  <c r="F382" i="1"/>
  <c r="F8" i="1"/>
  <c r="F9" i="1"/>
  <c r="F10" i="1"/>
  <c r="F11" i="1"/>
  <c r="F126" i="1"/>
  <c r="F327" i="1"/>
  <c r="F352" i="1"/>
  <c r="E359" i="1"/>
  <c r="F359" i="1" s="1"/>
  <c r="E360" i="1"/>
  <c r="F360" i="1" s="1"/>
  <c r="E361" i="1"/>
  <c r="F361" i="1" s="1"/>
  <c r="E377" i="1"/>
  <c r="F377" i="1" s="1"/>
  <c r="E376" i="1"/>
  <c r="F376" i="1" s="1"/>
  <c r="E363" i="1"/>
  <c r="F363" i="1" s="1"/>
  <c r="E337" i="1"/>
  <c r="F337" i="1" s="1"/>
  <c r="E338" i="1"/>
  <c r="F338" i="1" s="1"/>
  <c r="E339" i="1"/>
  <c r="F339" i="1" s="1"/>
  <c r="F340" i="1"/>
  <c r="E341" i="1"/>
  <c r="F341" i="1" s="1"/>
  <c r="F342" i="1"/>
  <c r="F343" i="1"/>
  <c r="E344" i="1"/>
  <c r="F344" i="1" s="1"/>
  <c r="E345" i="1"/>
  <c r="F345" i="1" s="1"/>
  <c r="F292" i="1"/>
  <c r="F293" i="1"/>
  <c r="E294" i="1"/>
  <c r="F294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F58" i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F69" i="1"/>
  <c r="E70" i="1"/>
  <c r="F70" i="1" s="1"/>
  <c r="F71" i="1"/>
  <c r="F72" i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F107" i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F116" i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7" i="1"/>
  <c r="F127" i="1" s="1"/>
  <c r="E128" i="1"/>
  <c r="F128" i="1" s="1"/>
  <c r="F129" i="1"/>
  <c r="F130" i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F145" i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F152" i="1"/>
  <c r="E153" i="1"/>
  <c r="F153" i="1" s="1"/>
  <c r="E154" i="1"/>
  <c r="F154" i="1" s="1"/>
  <c r="E155" i="1"/>
  <c r="F155" i="1" s="1"/>
  <c r="F156" i="1"/>
  <c r="E157" i="1"/>
  <c r="F157" i="1" s="1"/>
  <c r="E158" i="1"/>
  <c r="F158" i="1" s="1"/>
  <c r="F159" i="1"/>
  <c r="F160" i="1"/>
  <c r="E161" i="1"/>
  <c r="F161" i="1" s="1"/>
  <c r="F162" i="1"/>
  <c r="E163" i="1"/>
  <c r="F163" i="1" s="1"/>
  <c r="E164" i="1"/>
  <c r="F164" i="1" s="1"/>
  <c r="F165" i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F185" i="1"/>
  <c r="E186" i="1"/>
  <c r="F186" i="1" s="1"/>
  <c r="E187" i="1"/>
  <c r="F187" i="1" s="1"/>
  <c r="F188" i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F201" i="1"/>
  <c r="F202" i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F210" i="1"/>
  <c r="E211" i="1"/>
  <c r="F211" i="1" s="1"/>
  <c r="E212" i="1"/>
  <c r="F212" i="1" s="1"/>
  <c r="E213" i="1"/>
  <c r="F213" i="1" s="1"/>
  <c r="F214" i="1"/>
  <c r="E215" i="1"/>
  <c r="F215" i="1" s="1"/>
  <c r="E216" i="1"/>
  <c r="F216" i="1" s="1"/>
  <c r="E217" i="1"/>
  <c r="F217" i="1" s="1"/>
  <c r="E218" i="1"/>
  <c r="F218" i="1" s="1"/>
  <c r="F219" i="1"/>
  <c r="E220" i="1"/>
  <c r="F220" i="1" s="1"/>
  <c r="F221" i="1"/>
  <c r="F222" i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F231" i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F240" i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F248" i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F256" i="1"/>
  <c r="E257" i="1"/>
  <c r="F257" i="1" s="1"/>
  <c r="E258" i="1"/>
  <c r="F258" i="1" s="1"/>
  <c r="F259" i="1"/>
  <c r="E260" i="1"/>
  <c r="F260" i="1" s="1"/>
  <c r="F261" i="1"/>
  <c r="E262" i="1"/>
  <c r="F262" i="1" s="1"/>
  <c r="E263" i="1"/>
  <c r="F263" i="1" s="1"/>
  <c r="F264" i="1"/>
  <c r="F265" i="1"/>
  <c r="E266" i="1"/>
  <c r="F266" i="1" s="1"/>
  <c r="E267" i="1"/>
  <c r="F267" i="1" s="1"/>
  <c r="E268" i="1"/>
  <c r="F268" i="1" s="1"/>
  <c r="F269" i="1"/>
  <c r="F270" i="1"/>
  <c r="E271" i="1"/>
  <c r="F271" i="1" s="1"/>
  <c r="E272" i="1"/>
  <c r="F272" i="1" s="1"/>
  <c r="F273" i="1"/>
  <c r="F274" i="1"/>
  <c r="E275" i="1"/>
  <c r="F275" i="1" s="1"/>
  <c r="E276" i="1"/>
  <c r="F276" i="1" s="1"/>
  <c r="E277" i="1"/>
  <c r="F277" i="1" s="1"/>
  <c r="F278" i="1"/>
  <c r="E279" i="1"/>
  <c r="F279" i="1" s="1"/>
  <c r="E280" i="1"/>
  <c r="F280" i="1" s="1"/>
  <c r="F281" i="1"/>
  <c r="E282" i="1"/>
  <c r="F282" i="1" s="1"/>
  <c r="E283" i="1"/>
  <c r="F283" i="1" s="1"/>
  <c r="E284" i="1"/>
  <c r="F284" i="1" s="1"/>
  <c r="E285" i="1"/>
  <c r="F285" i="1" s="1"/>
  <c r="F286" i="1"/>
  <c r="F287" i="1"/>
  <c r="E288" i="1"/>
  <c r="F288" i="1" s="1"/>
  <c r="F289" i="1"/>
  <c r="E290" i="1"/>
  <c r="F290" i="1" s="1"/>
  <c r="E291" i="1"/>
  <c r="F291" i="1" s="1"/>
  <c r="E295" i="1"/>
  <c r="F295" i="1" s="1"/>
  <c r="E296" i="1"/>
  <c r="F296" i="1" s="1"/>
  <c r="E297" i="1"/>
  <c r="F297" i="1" s="1"/>
  <c r="F298" i="1"/>
  <c r="F299" i="1"/>
  <c r="E300" i="1"/>
  <c r="F300" i="1" s="1"/>
  <c r="E301" i="1"/>
  <c r="F301" i="1" s="1"/>
  <c r="E302" i="1"/>
  <c r="F302" i="1" s="1"/>
  <c r="E303" i="1"/>
  <c r="F303" i="1" s="1"/>
  <c r="F304" i="1"/>
  <c r="E305" i="1"/>
  <c r="F305" i="1" s="1"/>
  <c r="E306" i="1"/>
  <c r="F306" i="1" s="1"/>
  <c r="E307" i="1"/>
  <c r="F307" i="1" s="1"/>
  <c r="F308" i="1"/>
  <c r="E309" i="1"/>
  <c r="F309" i="1" s="1"/>
  <c r="E310" i="1"/>
  <c r="F310" i="1" s="1"/>
  <c r="F312" i="1"/>
  <c r="E313" i="1"/>
  <c r="F313" i="1" s="1"/>
  <c r="E314" i="1"/>
  <c r="F314" i="1" s="1"/>
  <c r="E315" i="1"/>
  <c r="F315" i="1" s="1"/>
  <c r="E316" i="1"/>
  <c r="F316" i="1" s="1"/>
  <c r="E317" i="1"/>
  <c r="F317" i="1" s="1"/>
  <c r="F318" i="1"/>
  <c r="E319" i="1"/>
  <c r="F319" i="1" s="1"/>
  <c r="E320" i="1"/>
  <c r="F320" i="1" s="1"/>
  <c r="E321" i="1"/>
  <c r="F321" i="1" s="1"/>
  <c r="F322" i="1"/>
  <c r="F323" i="1"/>
  <c r="E324" i="1"/>
  <c r="F324" i="1" s="1"/>
  <c r="E325" i="1"/>
  <c r="F325" i="1" s="1"/>
  <c r="E326" i="1"/>
  <c r="F326" i="1" s="1"/>
  <c r="E328" i="1"/>
  <c r="F328" i="1" s="1"/>
  <c r="F329" i="1"/>
  <c r="F330" i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F346" i="1"/>
  <c r="E347" i="1"/>
  <c r="F347" i="1" s="1"/>
  <c r="F348" i="1"/>
  <c r="E349" i="1"/>
  <c r="F349" i="1" s="1"/>
  <c r="F350" i="1"/>
  <c r="E351" i="1"/>
  <c r="F351" i="1" s="1"/>
  <c r="F353" i="1"/>
  <c r="F354" i="1"/>
  <c r="F355" i="1"/>
  <c r="E356" i="1"/>
  <c r="F356" i="1" s="1"/>
  <c r="E357" i="1"/>
  <c r="F357" i="1" s="1"/>
  <c r="F358" i="1"/>
  <c r="F362" i="1"/>
  <c r="E364" i="1"/>
  <c r="F364" i="1" s="1"/>
  <c r="F365" i="1"/>
  <c r="F366" i="1"/>
  <c r="E367" i="1"/>
  <c r="F367" i="1" s="1"/>
  <c r="E368" i="1"/>
  <c r="F368" i="1" s="1"/>
  <c r="E369" i="1"/>
  <c r="F369" i="1" s="1"/>
  <c r="F370" i="1"/>
  <c r="F371" i="1"/>
  <c r="F372" i="1"/>
  <c r="E373" i="1"/>
  <c r="F373" i="1" s="1"/>
  <c r="E374" i="1"/>
  <c r="F374" i="1" s="1"/>
  <c r="F375" i="1"/>
  <c r="F378" i="1"/>
  <c r="E379" i="1"/>
  <c r="F379" i="1" s="1"/>
  <c r="E380" i="1"/>
  <c r="F380" i="1" s="1"/>
  <c r="E381" i="1"/>
  <c r="F381" i="1" s="1"/>
  <c r="E15" i="1"/>
  <c r="F15" i="1" s="1"/>
  <c r="E16" i="1"/>
  <c r="F16" i="1" s="1"/>
  <c r="E17" i="1"/>
  <c r="F17" i="1" s="1"/>
  <c r="F18" i="1"/>
  <c r="E19" i="1"/>
  <c r="F19" i="1" s="1"/>
  <c r="E14" i="1"/>
  <c r="F14" i="1" s="1"/>
  <c r="F13" i="1"/>
  <c r="F12" i="1"/>
  <c r="L294" i="1"/>
</calcChain>
</file>

<file path=xl/sharedStrings.xml><?xml version="1.0" encoding="utf-8"?>
<sst xmlns="http://schemas.openxmlformats.org/spreadsheetml/2006/main" count="1136" uniqueCount="714">
  <si>
    <t>FORMULARIO OFICIAL</t>
  </si>
  <si>
    <t>Nº</t>
  </si>
  <si>
    <t>Itém</t>
  </si>
  <si>
    <t>Uni</t>
  </si>
  <si>
    <t>Cantidad</t>
  </si>
  <si>
    <t>P. Unitario</t>
  </si>
  <si>
    <t>P. Total</t>
  </si>
  <si>
    <t>OBRAS PRELIMINARES</t>
  </si>
  <si>
    <t>1.1</t>
  </si>
  <si>
    <t>OBRAS PROVISORIAS</t>
  </si>
  <si>
    <t>GL</t>
  </si>
  <si>
    <t>1.2</t>
  </si>
  <si>
    <t>INSTALACIONES DE FAENAS</t>
  </si>
  <si>
    <t>SISTEMAS DE ROCIADORES</t>
  </si>
  <si>
    <t>2.1</t>
  </si>
  <si>
    <t>ROCIADORES</t>
  </si>
  <si>
    <t>2.1.1</t>
  </si>
  <si>
    <t>Rociador Colgante semiembutido, Respuesta Rápida, K5.6, 165° F (68° C), 1/2" NPT</t>
  </si>
  <si>
    <t>UN</t>
  </si>
  <si>
    <t>2.1.2</t>
  </si>
  <si>
    <t>Rociador Montante, Respuesta Rápida, K5.6, 155° F (68° C), 1/2" NPT</t>
  </si>
  <si>
    <t>2.1.3</t>
  </si>
  <si>
    <t>Rociador Colgante, Respuesta estándar, K8, 165° F (74° C), 1/2" NPT</t>
  </si>
  <si>
    <t>2.1.4</t>
  </si>
  <si>
    <t>Rociador Lateral Oculto (Institucional), Respuesta Estándar, K5.6, 165° F (74° C), 1/2" NPT</t>
  </si>
  <si>
    <t>2.1.5</t>
  </si>
  <si>
    <t>Rociador Lateral Oculto, Respuesta Rápida, K5.6, 165° F (74° C), 1/2" NPT</t>
  </si>
  <si>
    <t>2.1.6</t>
  </si>
  <si>
    <t>Caja de Repuestos y Llaves de montajes de cada Rociador instalado</t>
  </si>
  <si>
    <t>2.2</t>
  </si>
  <si>
    <t>CAÑERIAS Y FITTING</t>
  </si>
  <si>
    <t>2.2.1</t>
  </si>
  <si>
    <t>Cañería de 3"</t>
  </si>
  <si>
    <t>MTS</t>
  </si>
  <si>
    <t>2.2.2</t>
  </si>
  <si>
    <t>Cañería de 2 1/2"</t>
  </si>
  <si>
    <t>2.2.3</t>
  </si>
  <si>
    <t>Cañería de 2"</t>
  </si>
  <si>
    <t>2.2.4</t>
  </si>
  <si>
    <t>Cañería de 1-1/2"</t>
  </si>
  <si>
    <t>2.2.5</t>
  </si>
  <si>
    <t>Cañería de 1-1/4"</t>
  </si>
  <si>
    <t>2.2.6</t>
  </si>
  <si>
    <t>Cañería de 1"</t>
  </si>
  <si>
    <t>2.2.7</t>
  </si>
  <si>
    <t>Tee de 3"</t>
  </si>
  <si>
    <t>2.2.8</t>
  </si>
  <si>
    <t>Tee de 2 1/2"</t>
  </si>
  <si>
    <t>2.2.9</t>
  </si>
  <si>
    <t>Tee de 2"</t>
  </si>
  <si>
    <t>2.2.10</t>
  </si>
  <si>
    <t>Tee de 1-1/2"</t>
  </si>
  <si>
    <t>2.2.11</t>
  </si>
  <si>
    <t>Tee de 1-1/4"</t>
  </si>
  <si>
    <t>2.2.12</t>
  </si>
  <si>
    <t>Tee de 1"</t>
  </si>
  <si>
    <t>2.2.13</t>
  </si>
  <si>
    <t>Tee Mecánica 3" x 2"</t>
  </si>
  <si>
    <t>2.2.14</t>
  </si>
  <si>
    <t>Tee Mecánica 3" x 1-1/2"</t>
  </si>
  <si>
    <t>2.2.15</t>
  </si>
  <si>
    <t>Tee Mecánica 3" x 1-1/4"</t>
  </si>
  <si>
    <t>2.2.16</t>
  </si>
  <si>
    <t>Tee Mecánica 3" x 1"</t>
  </si>
  <si>
    <t>2.2.17</t>
  </si>
  <si>
    <t>Tee Mecánica 2 1/2" x 2"</t>
  </si>
  <si>
    <t>2.2.18</t>
  </si>
  <si>
    <t>Strap 2 1/2" x 1"</t>
  </si>
  <si>
    <t>2.2.19</t>
  </si>
  <si>
    <t>Strap 2 1/2" x 1/2"</t>
  </si>
  <si>
    <t>2.2.20</t>
  </si>
  <si>
    <t>Strap 2" x 1"</t>
  </si>
  <si>
    <t>2.2.21</t>
  </si>
  <si>
    <t>Strap 2" x 1/2"</t>
  </si>
  <si>
    <t>2.2.22</t>
  </si>
  <si>
    <t>Strap 1-1/2" x 1"</t>
  </si>
  <si>
    <t>2.2.23</t>
  </si>
  <si>
    <t>Reducción 3" x 2 1/2"</t>
  </si>
  <si>
    <t>2.2.24</t>
  </si>
  <si>
    <t>Reducción 2 1/2" x 2"</t>
  </si>
  <si>
    <t>2.2.25</t>
  </si>
  <si>
    <t>Reducción 1" x 1/2"</t>
  </si>
  <si>
    <t>2.2.26</t>
  </si>
  <si>
    <t>Codo 3"</t>
  </si>
  <si>
    <t>2.2.27</t>
  </si>
  <si>
    <t>Codo 2 1/2"</t>
  </si>
  <si>
    <t>2.2.28</t>
  </si>
  <si>
    <t>Codo 2" 90"</t>
  </si>
  <si>
    <t>2.2.29</t>
  </si>
  <si>
    <t>Codo 2" 45"</t>
  </si>
  <si>
    <t>2.2.30</t>
  </si>
  <si>
    <t>Codo 1-1/4"</t>
  </si>
  <si>
    <t>2.2.31</t>
  </si>
  <si>
    <t>Codo reducción 1" x 1/2"</t>
  </si>
  <si>
    <t>2.2.32</t>
  </si>
  <si>
    <t>Tapón 3"</t>
  </si>
  <si>
    <t>2.2.33</t>
  </si>
  <si>
    <t>Tapón 2 1/2"</t>
  </si>
  <si>
    <t>2.2.34</t>
  </si>
  <si>
    <t>Tapón 2"</t>
  </si>
  <si>
    <t>2.2.35</t>
  </si>
  <si>
    <t>Unión Flexible de 3 Pulg</t>
  </si>
  <si>
    <t>2.2.36</t>
  </si>
  <si>
    <t>Unión Rígida de 3 Pulg</t>
  </si>
  <si>
    <t>2.2.37</t>
  </si>
  <si>
    <t>Unión Flexible de 2 1/2 Pulg</t>
  </si>
  <si>
    <t>2.2.38</t>
  </si>
  <si>
    <t>Unión Rígida de 2 1/2 Pulg</t>
  </si>
  <si>
    <t>2.2.39</t>
  </si>
  <si>
    <t>Unión Rígida de 2 Pulg</t>
  </si>
  <si>
    <t>2.3</t>
  </si>
  <si>
    <t>SOPORTES</t>
  </si>
  <si>
    <t>2.3.1</t>
  </si>
  <si>
    <t>Colgadores 3 [Pulg]</t>
  </si>
  <si>
    <t>2.3.2</t>
  </si>
  <si>
    <t>Colgadores 2 1/2 [Pulg]</t>
  </si>
  <si>
    <t>2.3.3</t>
  </si>
  <si>
    <t>Colgadores 2 [Pulg]</t>
  </si>
  <si>
    <t>2.3.4</t>
  </si>
  <si>
    <t>Colgadores 1-1/2 [Pulg]</t>
  </si>
  <si>
    <t>2.3.5</t>
  </si>
  <si>
    <t>Colgadores 1-1/4 [Pulg]</t>
  </si>
  <si>
    <t>2.3.6</t>
  </si>
  <si>
    <t>Colgadores 1 [Pulg]</t>
  </si>
  <si>
    <t>2.3.7</t>
  </si>
  <si>
    <t>Anclajes sísmicos longitudinales 3 [Pulg]</t>
  </si>
  <si>
    <t>2.3.8</t>
  </si>
  <si>
    <t>Anclajes sísmicos transversales 3 [Pulg]</t>
  </si>
  <si>
    <t>2.3.9</t>
  </si>
  <si>
    <t>Anclajes sísmicos longitudinales 2 1/2 [Pulg]</t>
  </si>
  <si>
    <t>2.3.10</t>
  </si>
  <si>
    <t>Anclajes sísmicos transversales 2 1/2 [Pulg]</t>
  </si>
  <si>
    <t>2.4</t>
  </si>
  <si>
    <t>VALVULAS</t>
  </si>
  <si>
    <t>2.4.1</t>
  </si>
  <si>
    <t>Válvula de Bola 1" (drenaje)</t>
  </si>
  <si>
    <t>MANIFOLDS Y PERIMETRAL</t>
  </si>
  <si>
    <t>3.1</t>
  </si>
  <si>
    <t>3.1.1</t>
  </si>
  <si>
    <t>Cañería HDPE PN16 PE100 de 160mm</t>
  </si>
  <si>
    <t>3.1.2</t>
  </si>
  <si>
    <t>Cañería de 6"</t>
  </si>
  <si>
    <t>3.1.3</t>
  </si>
  <si>
    <t>Cañería de 4"</t>
  </si>
  <si>
    <t>3.1.4</t>
  </si>
  <si>
    <t>Cañería de 2-1/2"</t>
  </si>
  <si>
    <t>3.1.5</t>
  </si>
  <si>
    <t>3.1.6</t>
  </si>
  <si>
    <t>3.1.7</t>
  </si>
  <si>
    <t>Cañería de 1 1/4"</t>
  </si>
  <si>
    <t>3.1.8</t>
  </si>
  <si>
    <t>Tee HDPE PN16 de 160x160x160mm</t>
  </si>
  <si>
    <t>3.1.9</t>
  </si>
  <si>
    <t>3.1.10</t>
  </si>
  <si>
    <t>Tee Mecánica 6" x 3"</t>
  </si>
  <si>
    <t>3.1.11</t>
  </si>
  <si>
    <t>Tee Mecánica 6" x 2-1/2"</t>
  </si>
  <si>
    <t>3.1.12</t>
  </si>
  <si>
    <t>Tee Mecánica 6" x 4"</t>
  </si>
  <si>
    <t>3.1.13</t>
  </si>
  <si>
    <t>Codo HDPE PN16 de 160mm</t>
  </si>
  <si>
    <t>3.1.14</t>
  </si>
  <si>
    <t>Codo 6"</t>
  </si>
  <si>
    <t>3.1.15</t>
  </si>
  <si>
    <t>Codo 4"</t>
  </si>
  <si>
    <t>3.1.16</t>
  </si>
  <si>
    <t>3.1.17</t>
  </si>
  <si>
    <t>Codo 2-1/2"</t>
  </si>
  <si>
    <t>3.1.18</t>
  </si>
  <si>
    <t>Codo 2"</t>
  </si>
  <si>
    <t>3.1.19</t>
  </si>
  <si>
    <t>Tapón 6"</t>
  </si>
  <si>
    <t>3.1.20</t>
  </si>
  <si>
    <t>Reducción 2" x 1 1/4"</t>
  </si>
  <si>
    <t>3.1.21</t>
  </si>
  <si>
    <t>Unión Flexible de 6 Pulg</t>
  </si>
  <si>
    <t>3.1.22</t>
  </si>
  <si>
    <t>Unión Flexible de 4 Pulg</t>
  </si>
  <si>
    <t>3.1.23</t>
  </si>
  <si>
    <t>3.1.24</t>
  </si>
  <si>
    <t>Unión Flexible de 2-1/2 Pulg</t>
  </si>
  <si>
    <t>3.1.25</t>
  </si>
  <si>
    <t>Unión Rígida de 6 Pulg</t>
  </si>
  <si>
    <t>3.1.26</t>
  </si>
  <si>
    <t>Unión Rígida de 4 Pulg</t>
  </si>
  <si>
    <t>3.1.27</t>
  </si>
  <si>
    <t>3.1.28</t>
  </si>
  <si>
    <t>Unión Rígida de 2-1/2 Pulg</t>
  </si>
  <si>
    <t>3.1.29</t>
  </si>
  <si>
    <t>Niple tuerca de 2"</t>
  </si>
  <si>
    <t>3.1.30</t>
  </si>
  <si>
    <t>Copia Storz de 2"</t>
  </si>
  <si>
    <t>3.1.31</t>
  </si>
  <si>
    <t>Sub-end de 160mm</t>
  </si>
  <si>
    <t>3.1.32</t>
  </si>
  <si>
    <t>Flange Valante DIN 6"</t>
  </si>
  <si>
    <t>3.1.33</t>
  </si>
  <si>
    <t>Empaquetadura</t>
  </si>
  <si>
    <t>3.1.34</t>
  </si>
  <si>
    <t>Flange Acero Slip-on</t>
  </si>
  <si>
    <t>3.2</t>
  </si>
  <si>
    <t>3.2.1</t>
  </si>
  <si>
    <t>Anclajes sísmicos longitudinales 6 [Pulg]</t>
  </si>
  <si>
    <t>3.2.2</t>
  </si>
  <si>
    <t>Anclajes sísmicos transversales 6 [Pulg]</t>
  </si>
  <si>
    <t>3.2.3</t>
  </si>
  <si>
    <t>Anclajes sísmicos longitudinales 4 [Pulg] Riser</t>
  </si>
  <si>
    <t>3.2.4</t>
  </si>
  <si>
    <t>Anclajes sísmicos transversales 4 [Pulg] Riser</t>
  </si>
  <si>
    <t>3.2.5</t>
  </si>
  <si>
    <t>Anclajes sísmicos longitudinales 3 [Pulg] Riser</t>
  </si>
  <si>
    <t>3.2.6</t>
  </si>
  <si>
    <t>Anclajes sísmicos transversales 3 [Pulg] Riser</t>
  </si>
  <si>
    <t>3.2.7</t>
  </si>
  <si>
    <t>Anclajes sísmicos longitudinales 2-1/2 [Pulg] Riser</t>
  </si>
  <si>
    <t>3.2.8</t>
  </si>
  <si>
    <t>Anclajes sísmicos transversales 2-1/2 [Pulg] Riser</t>
  </si>
  <si>
    <t>3.3</t>
  </si>
  <si>
    <t>3.3.1</t>
  </si>
  <si>
    <t>Válvula de Mariposa 4"</t>
  </si>
  <si>
    <t>3.3.2</t>
  </si>
  <si>
    <t>Válvula de Mariposa 3"</t>
  </si>
  <si>
    <t>3.3.3</t>
  </si>
  <si>
    <t>Válvula de Mariposa 2-1/2"</t>
  </si>
  <si>
    <t>3.3.4</t>
  </si>
  <si>
    <t>Válvula de Alarma 3"</t>
  </si>
  <si>
    <t>3.3.5</t>
  </si>
  <si>
    <t>Válvula de Alarma 2-1/2"</t>
  </si>
  <si>
    <t>3.3.6</t>
  </si>
  <si>
    <t>Válvula Check Riser 4"</t>
  </si>
  <si>
    <t>3.3.7</t>
  </si>
  <si>
    <t>Válvula Check Riser 2-1/2"</t>
  </si>
  <si>
    <t>3.3.8</t>
  </si>
  <si>
    <t>Válvula Check DV-5 2-1/2"</t>
  </si>
  <si>
    <t>3.3.9</t>
  </si>
  <si>
    <t>Válvula de Prueba y Drenaje 1 1/4"</t>
  </si>
  <si>
    <t>3.3.10</t>
  </si>
  <si>
    <t>Sensor de Flujo 4"</t>
  </si>
  <si>
    <t>3.3.11</t>
  </si>
  <si>
    <t>Sensor de Flujo 3"</t>
  </si>
  <si>
    <t>3.3.12</t>
  </si>
  <si>
    <t>Sensor de Flujo 2-1/2"</t>
  </si>
  <si>
    <t>SISTEMA DE RED HUMEDA</t>
  </si>
  <si>
    <t>4.1</t>
  </si>
  <si>
    <t>4.1.1</t>
  </si>
  <si>
    <t>4.1.2</t>
  </si>
  <si>
    <t>4.1.3</t>
  </si>
  <si>
    <t>4.1.4</t>
  </si>
  <si>
    <t>4.1.5</t>
  </si>
  <si>
    <t>Tee Mecánica 2 1/2" x 1"</t>
  </si>
  <si>
    <t>4.1.6</t>
  </si>
  <si>
    <t>4.1.7</t>
  </si>
  <si>
    <t>Codo 3" 90"</t>
  </si>
  <si>
    <t>4.1.8</t>
  </si>
  <si>
    <t>Codo 3" 45"</t>
  </si>
  <si>
    <t>4.1.9</t>
  </si>
  <si>
    <t>Codo 2 1/2" 90"</t>
  </si>
  <si>
    <t>4.1.10</t>
  </si>
  <si>
    <t>Codo 2 1/2" 45"</t>
  </si>
  <si>
    <t>4.1.11</t>
  </si>
  <si>
    <t>4.1.12</t>
  </si>
  <si>
    <t>4.1.13</t>
  </si>
  <si>
    <t>4.1.14</t>
  </si>
  <si>
    <t>4.2</t>
  </si>
  <si>
    <t>4.2.1</t>
  </si>
  <si>
    <t>4.2.2</t>
  </si>
  <si>
    <t>4.2.3</t>
  </si>
  <si>
    <t>4.2.4</t>
  </si>
  <si>
    <t>4.2.5</t>
  </si>
  <si>
    <t>4.2.6</t>
  </si>
  <si>
    <t>4.3</t>
  </si>
  <si>
    <t>4.3.1</t>
  </si>
  <si>
    <t>Válvula de Angulo de 1" Reductora de Presión</t>
  </si>
  <si>
    <t>4.3.2</t>
  </si>
  <si>
    <t>Válvula de Angulo 2 1/2" cubierta y tapa storz 2" toma de bomberos carretes</t>
  </si>
  <si>
    <t>4.3.3</t>
  </si>
  <si>
    <t>Manómetros 3.5 Pulg</t>
  </si>
  <si>
    <t>4.4</t>
  </si>
  <si>
    <t>GABINETES DE MANGUERAS</t>
  </si>
  <si>
    <t>4.4.1</t>
  </si>
  <si>
    <t>Gabinete de manguera con 30 [m] de manguera semirrígida de 1" y PitÃ³n regulable</t>
  </si>
  <si>
    <t>4.4.2</t>
  </si>
  <si>
    <t>Conexión Storz 2 1/2", con tapa y cadena (Toma exterior)</t>
  </si>
  <si>
    <t>SALA DE BOMBAS</t>
  </si>
  <si>
    <t>5.1</t>
  </si>
  <si>
    <t>MONTAJE DE SALA DE BOMBAS</t>
  </si>
  <si>
    <t>5.1.1</t>
  </si>
  <si>
    <t>Bomba Principal 750 GPM y 145 PSI, Jockey y Tableros</t>
  </si>
  <si>
    <t>5.2</t>
  </si>
  <si>
    <t>5.2.1</t>
  </si>
  <si>
    <t>Rociador Colgante Respuesta Estándar, K6.0, 165° F (74° C), 1/2" NPT</t>
  </si>
  <si>
    <t>5.2.2</t>
  </si>
  <si>
    <t>5.3</t>
  </si>
  <si>
    <t>5.3.1</t>
  </si>
  <si>
    <t>5.3.2</t>
  </si>
  <si>
    <t>5.3.3</t>
  </si>
  <si>
    <t>5.3.4</t>
  </si>
  <si>
    <t>5.3.5</t>
  </si>
  <si>
    <t>Tee roscada 6 Pulg</t>
  </si>
  <si>
    <t>5.3.6</t>
  </si>
  <si>
    <t>Tee roscada 2 Pulg</t>
  </si>
  <si>
    <t>5.3.7</t>
  </si>
  <si>
    <t>Tee ReducciÃ³n 6" x 6" x 4"</t>
  </si>
  <si>
    <t>5.3.8</t>
  </si>
  <si>
    <t>Strap 2" x 1 1/4"</t>
  </si>
  <si>
    <t>5.3.9</t>
  </si>
  <si>
    <t>Strap 1 1/4" x 1/2"</t>
  </si>
  <si>
    <t>5.3.10</t>
  </si>
  <si>
    <t>5.3.11</t>
  </si>
  <si>
    <t>5.3.12</t>
  </si>
  <si>
    <t>Codo de descarga 4" x 6"</t>
  </si>
  <si>
    <t>5.3.13</t>
  </si>
  <si>
    <t>5.3.14</t>
  </si>
  <si>
    <t>Tapón 1 1/4"</t>
  </si>
  <si>
    <t>5.3.15</t>
  </si>
  <si>
    <t>5.3.16</t>
  </si>
  <si>
    <t>5.3.17</t>
  </si>
  <si>
    <t>Unión Flexible de 2 Pulg</t>
  </si>
  <si>
    <t>5.3.18</t>
  </si>
  <si>
    <t>Adaptador Flange de 6 Pulg</t>
  </si>
  <si>
    <t>5.3.19</t>
  </si>
  <si>
    <t>Adaptador Flange de 4 Pulg</t>
  </si>
  <si>
    <t>5.4</t>
  </si>
  <si>
    <t>5.4.1</t>
  </si>
  <si>
    <t>5.4.2</t>
  </si>
  <si>
    <t>5.5</t>
  </si>
  <si>
    <t>5.5.1</t>
  </si>
  <si>
    <t>Válvula de Mariposa de 2"</t>
  </si>
  <si>
    <t>5.5.2</t>
  </si>
  <si>
    <t>Válvula de Mariposa de 6"</t>
  </si>
  <si>
    <t>5.5.3</t>
  </si>
  <si>
    <t>Válvula de Compuerta Tipo OS&amp;Y Flangeada de 6"</t>
  </si>
  <si>
    <t>5.5.4</t>
  </si>
  <si>
    <t>Válvula de Compuerta de 2"</t>
  </si>
  <si>
    <t>5.5.5</t>
  </si>
  <si>
    <t>Válvula Check roscada de 6"</t>
  </si>
  <si>
    <t>5.5.6</t>
  </si>
  <si>
    <t>Válvula Click de 2"</t>
  </si>
  <si>
    <t>5.5.7</t>
  </si>
  <si>
    <t>Válvula de Alivio 4" x 4"</t>
  </si>
  <si>
    <t>5.5.8</t>
  </si>
  <si>
    <t>Sensor de Flujo de 6"</t>
  </si>
  <si>
    <t>5.5.9</t>
  </si>
  <si>
    <t>Sensor de Flujo de 2"</t>
  </si>
  <si>
    <t>5.5.10</t>
  </si>
  <si>
    <t>Sensor de Presión</t>
  </si>
  <si>
    <t>5.5.11</t>
  </si>
  <si>
    <t>Medidor de Flujo Tipo Venturi de 6"</t>
  </si>
  <si>
    <t>5.5.12</t>
  </si>
  <si>
    <t>SISTEMA DE DETECCION DE INCENDIO</t>
  </si>
  <si>
    <t>6.1</t>
  </si>
  <si>
    <t>SENSORES Y DISPOSITIVOS</t>
  </si>
  <si>
    <t>6.1.1</t>
  </si>
  <si>
    <t>Detector Humo Inteligente</t>
  </si>
  <si>
    <t>6.1.2</t>
  </si>
  <si>
    <t>Detector Termovelocimétrico Inteligente</t>
  </si>
  <si>
    <t>6.1.3</t>
  </si>
  <si>
    <t>Pulsador Manual de Alarma</t>
  </si>
  <si>
    <t>6.1.4</t>
  </si>
  <si>
    <t>Modulo de Monitoreo</t>
  </si>
  <si>
    <t>6.1.5</t>
  </si>
  <si>
    <t>Modulo de Control</t>
  </si>
  <si>
    <t>6.1.6</t>
  </si>
  <si>
    <t>Modulo de Aislación</t>
  </si>
  <si>
    <t>6.1.7</t>
  </si>
  <si>
    <t>Sirena con Luz Estroboscópica</t>
  </si>
  <si>
    <t>6.2</t>
  </si>
  <si>
    <t>UNIDAD DE CONTROL</t>
  </si>
  <si>
    <t>6.2.1</t>
  </si>
  <si>
    <t>Panel de Alarmas de Incendio Inteligente NFS-3030</t>
  </si>
  <si>
    <t>6.2.2</t>
  </si>
  <si>
    <t>Fuente de Poder remota 8.0 Ampa con cargador y gabinete, 240 VAC</t>
  </si>
  <si>
    <t>6.2.3</t>
  </si>
  <si>
    <t>Baterías 12 V</t>
  </si>
  <si>
    <t>6.3</t>
  </si>
  <si>
    <t>CABLEADO</t>
  </si>
  <si>
    <t>6.3.1</t>
  </si>
  <si>
    <t>Cable Resistente al Fuego FPLR-P</t>
  </si>
  <si>
    <t>6.3.2</t>
  </si>
  <si>
    <t>Canalización Detección EMT 3/4"</t>
  </si>
  <si>
    <t>6.3.3</t>
  </si>
  <si>
    <t>Canalización Detección Galvanizada 3/4"</t>
  </si>
  <si>
    <t>6.3.4</t>
  </si>
  <si>
    <t>Canalización Detección PVC 32mm</t>
  </si>
  <si>
    <t>6.4</t>
  </si>
  <si>
    <t>MANO DE OBRA</t>
  </si>
  <si>
    <t>6.4.1</t>
  </si>
  <si>
    <t>Programación</t>
  </si>
  <si>
    <t>ELECTRICIDAD</t>
  </si>
  <si>
    <t>7.1</t>
  </si>
  <si>
    <t>TABLERO ELECTRICO</t>
  </si>
  <si>
    <t>7.1.1</t>
  </si>
  <si>
    <t>TABLERO TD COMP "DACO"</t>
  </si>
  <si>
    <t>7.1.2</t>
  </si>
  <si>
    <t>TABLERO TD COMP "DADM"</t>
  </si>
  <si>
    <t>7.1.3</t>
  </si>
  <si>
    <t>TABLERO TD COMP "DAS"</t>
  </si>
  <si>
    <t>7.1.4</t>
  </si>
  <si>
    <t>TABLERO TD COMP "OMS"</t>
  </si>
  <si>
    <t>7.1.5</t>
  </si>
  <si>
    <t>TDFC "SBI"</t>
  </si>
  <si>
    <t>7.1.6</t>
  </si>
  <si>
    <t>TDF "MO" (POR PROVEEDOR)</t>
  </si>
  <si>
    <t>7.1.7</t>
  </si>
  <si>
    <t>TDFC "BP" (PROVEEDOR)</t>
  </si>
  <si>
    <t>7.1.8</t>
  </si>
  <si>
    <t>TDFC "BJ" (PROVEEDOR)</t>
  </si>
  <si>
    <t>7.2</t>
  </si>
  <si>
    <t>ALIMENTADOR GENERAL Y DISTRIBUCION</t>
  </si>
  <si>
    <t>7.2.1</t>
  </si>
  <si>
    <t>SUB-ALIMENTADOR "DACO"</t>
  </si>
  <si>
    <t>7.2.2</t>
  </si>
  <si>
    <t>SUB-ALIMENTADOR "DADM"</t>
  </si>
  <si>
    <t>7.2.3</t>
  </si>
  <si>
    <t>SUB-ALIMENTADOR "DAS"</t>
  </si>
  <si>
    <t>7.2.4</t>
  </si>
  <si>
    <t>SUB-ALIMENTADOR "OMS"</t>
  </si>
  <si>
    <t>7.2.5</t>
  </si>
  <si>
    <t>SUB-ALIMENTADOR "SBI"</t>
  </si>
  <si>
    <t>7.2.6</t>
  </si>
  <si>
    <t>SUB-ALIMENTADOR "MO"</t>
  </si>
  <si>
    <t>7.2.7</t>
  </si>
  <si>
    <t>SUB-ALIMENTADOR "BP"</t>
  </si>
  <si>
    <t>7.2.8</t>
  </si>
  <si>
    <t>SUB-ALIMENTADOR "BJ"</t>
  </si>
  <si>
    <t>7.3</t>
  </si>
  <si>
    <t>DISTRIBUCION DE ILUMINACION  ENCHUFES Y CLIMATIZACION</t>
  </si>
  <si>
    <t>7.3.1</t>
  </si>
  <si>
    <t>CENTROS DE ILUMINACION</t>
  </si>
  <si>
    <t>7.3.2</t>
  </si>
  <si>
    <t>INTERRUPTOR 892</t>
  </si>
  <si>
    <t>7.3.3</t>
  </si>
  <si>
    <t>KIT EMERGENCIA LEDS</t>
  </si>
  <si>
    <t>7.3.4</t>
  </si>
  <si>
    <t>CENTROS ENCHUFES</t>
  </si>
  <si>
    <t>7.3.5</t>
  </si>
  <si>
    <t>ENCHUFE DOBLE 16A</t>
  </si>
  <si>
    <t>7.3.6</t>
  </si>
  <si>
    <t>CENTROS ARRANQUES</t>
  </si>
  <si>
    <t>7.3.7</t>
  </si>
  <si>
    <t>CAJA METALICA 100x100mm</t>
  </si>
  <si>
    <t>7.4</t>
  </si>
  <si>
    <t>RED INERTE DE BOMBEROS</t>
  </si>
  <si>
    <t>7.4.1</t>
  </si>
  <si>
    <t>ENCHUFE HELMETO DE BOMBEROS P17 2P+T 16A 220V IP 67</t>
  </si>
  <si>
    <t>7.4.2</t>
  </si>
  <si>
    <t>ENCHUFE RED BOMBEROS P17 2P+T 16A 220V IP 67</t>
  </si>
  <si>
    <t>7.4.3</t>
  </si>
  <si>
    <t>7.4.4</t>
  </si>
  <si>
    <t>CINTA 25MM</t>
  </si>
  <si>
    <t>7.4.5</t>
  </si>
  <si>
    <t>CAG 25MM</t>
  </si>
  <si>
    <t>7.4.6</t>
  </si>
  <si>
    <t>CONDUCTOR SILICONADO RZ1-K AS+</t>
  </si>
  <si>
    <t>7.4.7</t>
  </si>
  <si>
    <t>PVC 50MM SCH 40</t>
  </si>
  <si>
    <t>7.5</t>
  </si>
  <si>
    <t>ILUMINACION</t>
  </si>
  <si>
    <t>7.5.1</t>
  </si>
  <si>
    <t>EQUIPO LED HERMETICO ESTANCO 40W</t>
  </si>
  <si>
    <t>7.5.2</t>
  </si>
  <si>
    <t>LED TIPO TORTUGA 15W</t>
  </si>
  <si>
    <t>7.6</t>
  </si>
  <si>
    <t>OBRAS CIVILES Y CAMARAS</t>
  </si>
  <si>
    <t>7.6.1</t>
  </si>
  <si>
    <t>CAMARA TIPO D TRANSITO LIVIANO</t>
  </si>
  <si>
    <t>7.7</t>
  </si>
  <si>
    <t>TRAMITES DE RECEPCION ELECTRICA Y OTROS</t>
  </si>
  <si>
    <t>7.7.1</t>
  </si>
  <si>
    <t>RECEPCION  ELECTRICA DEFINITIVA TE-1</t>
  </si>
  <si>
    <t>7.7.2</t>
  </si>
  <si>
    <t>PLANOS AS-BUILT</t>
  </si>
  <si>
    <t>INSTALACION SANITARIAS - AGUA POTABLE</t>
  </si>
  <si>
    <t>8.1</t>
  </si>
  <si>
    <t>MOVIMIENTOS DE TIERRAS</t>
  </si>
  <si>
    <t>8.1.1</t>
  </si>
  <si>
    <t>EXCAVACIONES</t>
  </si>
  <si>
    <t>M3</t>
  </si>
  <si>
    <t>8.1.2</t>
  </si>
  <si>
    <t>RELLENOS Y COMPACTACION</t>
  </si>
  <si>
    <t>8.1.3</t>
  </si>
  <si>
    <t>RETIRO DE EXCEDENTES</t>
  </si>
  <si>
    <t>8.2</t>
  </si>
  <si>
    <t>SUMINISTRO Y COLOCACIÃ“N DE MATERIALES Y EQUIPOS</t>
  </si>
  <si>
    <t>8.2.1</t>
  </si>
  <si>
    <t>INSTALACION Y MANTENCION DE ACOMETIDA Y MEDIDOR</t>
  </si>
  <si>
    <t>8.2.1.1</t>
  </si>
  <si>
    <t>CONEXION A MEDIDOR EXISTENTE</t>
  </si>
  <si>
    <t>8.2.1.2</t>
  </si>
  <si>
    <t>FILTROS</t>
  </si>
  <si>
    <t>8.2.2</t>
  </si>
  <si>
    <t>TUBERIA</t>
  </si>
  <si>
    <t>8.2.2.1</t>
  </si>
  <si>
    <t>POLIPROPILENO (PPR- SDR 3)</t>
  </si>
  <si>
    <t>8.2.2.1.1</t>
  </si>
  <si>
    <t>PPR 75MM</t>
  </si>
  <si>
    <t>8.2.2.1.2</t>
  </si>
  <si>
    <t>PPR 63MM</t>
  </si>
  <si>
    <t>8.2.2.1.3</t>
  </si>
  <si>
    <t>PPR 50MM</t>
  </si>
  <si>
    <t>8.2.2.2</t>
  </si>
  <si>
    <t>PVC HIDRAULICO PN-12,5</t>
  </si>
  <si>
    <t>8.2.2.2.1</t>
  </si>
  <si>
    <t>PVC H. 75MM</t>
  </si>
  <si>
    <t>8.2.2.2.2</t>
  </si>
  <si>
    <t>PVC H. 50MM</t>
  </si>
  <si>
    <t>8.2.3</t>
  </si>
  <si>
    <t>8.2.3.1</t>
  </si>
  <si>
    <t>D=75MM</t>
  </si>
  <si>
    <t>8.2.3.2</t>
  </si>
  <si>
    <t>D=63MM</t>
  </si>
  <si>
    <t>8.2.3.3</t>
  </si>
  <si>
    <t>D=50MM</t>
  </si>
  <si>
    <t>8.2.4</t>
  </si>
  <si>
    <t>SOPORTE DE TUBERIA TIPO</t>
  </si>
  <si>
    <t>8.2.4.1</t>
  </si>
  <si>
    <t>ASBESTO</t>
  </si>
  <si>
    <t>8.2.5</t>
  </si>
  <si>
    <t>AISLACION</t>
  </si>
  <si>
    <t>8.2.5.1</t>
  </si>
  <si>
    <t>AISLACION ESPUMA ELASTOMERICA</t>
  </si>
  <si>
    <t>8.2.6</t>
  </si>
  <si>
    <t>SISTEMA DE CONEXION A ACUMULACION AGUA PARA INCENDIO</t>
  </si>
  <si>
    <t>8.2.6.1</t>
  </si>
  <si>
    <t>CONEXION LLENADO ESTANQUE ACUMULACION</t>
  </si>
  <si>
    <t>8.2.6.2</t>
  </si>
  <si>
    <t>CAÑERIAS Y PIEZAS ESPECIALES</t>
  </si>
  <si>
    <t>OBRAS CIVILES ESTANQUES Y SALA DE BOMBA</t>
  </si>
  <si>
    <t>9.1</t>
  </si>
  <si>
    <t>TRABAJOS PREVIOS</t>
  </si>
  <si>
    <t>9.1.1</t>
  </si>
  <si>
    <t>Reconocimiento del subsuelo</t>
  </si>
  <si>
    <t>9.1.2</t>
  </si>
  <si>
    <t>Despeje del terreno</t>
  </si>
  <si>
    <t>M2</t>
  </si>
  <si>
    <t>9.1.3</t>
  </si>
  <si>
    <t>Trasados y niveles</t>
  </si>
  <si>
    <t>9.1.4</t>
  </si>
  <si>
    <t>Demoliciones desmontaje excavaciones y transporte</t>
  </si>
  <si>
    <t>9.2</t>
  </si>
  <si>
    <t>OBRA GRUESA DE CONSTRUCCION</t>
  </si>
  <si>
    <t>9.2.1</t>
  </si>
  <si>
    <t>EXCAVACIONES Y MOVIMIENTO DE TIERRA</t>
  </si>
  <si>
    <t>9.2.1.1</t>
  </si>
  <si>
    <t>Excavaciones para cimientos</t>
  </si>
  <si>
    <t>9.2.1.2</t>
  </si>
  <si>
    <t>Excavaciones generales</t>
  </si>
  <si>
    <t>9.2.1.3</t>
  </si>
  <si>
    <t>Material excedente</t>
  </si>
  <si>
    <t>9.2.1.4</t>
  </si>
  <si>
    <t>Rellenos</t>
  </si>
  <si>
    <t>9.2.2</t>
  </si>
  <si>
    <t>FUNDACIONES O CIMIENTOS</t>
  </si>
  <si>
    <t>9.2.2.1</t>
  </si>
  <si>
    <t>Fundaciones de edificios</t>
  </si>
  <si>
    <t>9.2.2.2</t>
  </si>
  <si>
    <t>Fierro de fundaciones</t>
  </si>
  <si>
    <t>KG</t>
  </si>
  <si>
    <t>9.2.3</t>
  </si>
  <si>
    <t>SOBRECIMIENTOS</t>
  </si>
  <si>
    <t>9.2.4</t>
  </si>
  <si>
    <t>PAVIMENTOS</t>
  </si>
  <si>
    <t>9.2.4.1</t>
  </si>
  <si>
    <t>Rellenos y base de pavimentos</t>
  </si>
  <si>
    <t>9.2.4.2</t>
  </si>
  <si>
    <t>Rellenos y/o losas</t>
  </si>
  <si>
    <t>9.2.5</t>
  </si>
  <si>
    <t>ESTRUCTURA RESISTENTE</t>
  </si>
  <si>
    <t>9.2.5.1</t>
  </si>
  <si>
    <t>ARMADURAS</t>
  </si>
  <si>
    <t>9.2.5.1.1</t>
  </si>
  <si>
    <t>Fundaciones</t>
  </si>
  <si>
    <t>9.2.5.1.2</t>
  </si>
  <si>
    <t>Radier armado</t>
  </si>
  <si>
    <t>9.2.5.1.3</t>
  </si>
  <si>
    <t>Muros-pilares</t>
  </si>
  <si>
    <t>9.2.5.1.4</t>
  </si>
  <si>
    <t>Vigas</t>
  </si>
  <si>
    <t>9.2.5.1.5</t>
  </si>
  <si>
    <t>Losas</t>
  </si>
  <si>
    <t>9.2.5.2</t>
  </si>
  <si>
    <t>HORMIGONES</t>
  </si>
  <si>
    <t>9.2.5.2.1</t>
  </si>
  <si>
    <t>Muros - pilares</t>
  </si>
  <si>
    <t>9.2.5.2.2</t>
  </si>
  <si>
    <t>9.2.5.2.3</t>
  </si>
  <si>
    <t>9.2.6</t>
  </si>
  <si>
    <t>MOLDAJES</t>
  </si>
  <si>
    <t>9.2.6.1</t>
  </si>
  <si>
    <t>MOLDAJES DE PILARES, MUROS,VIGAS,LOSAS,ETC.</t>
  </si>
  <si>
    <t>9.2.6.1.1</t>
  </si>
  <si>
    <t>Muros</t>
  </si>
  <si>
    <t>9.2.6.1.2</t>
  </si>
  <si>
    <t>9.2.6.1.3</t>
  </si>
  <si>
    <t>9.2.7</t>
  </si>
  <si>
    <t>ESCALAS  GRADAS Y RAMPAS</t>
  </si>
  <si>
    <t>9.2.7.1</t>
  </si>
  <si>
    <t>Escalera galera</t>
  </si>
  <si>
    <t>9.2.8</t>
  </si>
  <si>
    <t>PROTECCIONES HIDRICAS</t>
  </si>
  <si>
    <t>9.2.8.1</t>
  </si>
  <si>
    <t>IMPERMEABILIZACIONES</t>
  </si>
  <si>
    <t>9.2.8.1.1</t>
  </si>
  <si>
    <t>Impermeabilización bajo pavimentos</t>
  </si>
  <si>
    <t>9.2.8.1.2</t>
  </si>
  <si>
    <t>Impermeabilización de estanques de agua potable</t>
  </si>
  <si>
    <t>9.2.8.1.3</t>
  </si>
  <si>
    <t>Impermeabilización de muros de contención  muros y HA</t>
  </si>
  <si>
    <t>9.2.8.1.4</t>
  </si>
  <si>
    <t>Impermeabilización superficial de muros</t>
  </si>
  <si>
    <t>9.2.8.1.5</t>
  </si>
  <si>
    <t>Impermeabilización general bajo fundaciones</t>
  </si>
  <si>
    <t>9.2.8.1.6</t>
  </si>
  <si>
    <t>Impermeabilización de canaletas de hormigón</t>
  </si>
  <si>
    <t>9.2.8.1.7</t>
  </si>
  <si>
    <t>Perfiles de seguridad contra Líquidos</t>
  </si>
  <si>
    <t>9.2.8.1.8</t>
  </si>
  <si>
    <t>Perfiles de seguridad contra combustibles</t>
  </si>
  <si>
    <t>9.2.9</t>
  </si>
  <si>
    <t>OBRA CIVILES DE ESPECIALIDADES</t>
  </si>
  <si>
    <t>9.2.10</t>
  </si>
  <si>
    <t>FUEGO Y/O INCENDIOS</t>
  </si>
  <si>
    <t>9.2.10.1</t>
  </si>
  <si>
    <t>Sellos cortafuego</t>
  </si>
  <si>
    <t>9.3</t>
  </si>
  <si>
    <t>OBRA DE TERMINACIONES</t>
  </si>
  <si>
    <t>9.3.1</t>
  </si>
  <si>
    <t>AISLACIONES</t>
  </si>
  <si>
    <t>9.3.1.1</t>
  </si>
  <si>
    <t>Amortiguadores de ruidos y vibraciones</t>
  </si>
  <si>
    <t>9.3.1.2</t>
  </si>
  <si>
    <t>Aislador contra electrolisis</t>
  </si>
  <si>
    <t>9.4</t>
  </si>
  <si>
    <t>REVESTIMIENTOS EXTERIORES</t>
  </si>
  <si>
    <t>9.4.1</t>
  </si>
  <si>
    <t>Revoque de mortero de cemento</t>
  </si>
  <si>
    <t>9.5</t>
  </si>
  <si>
    <t>REVESTIMIENTOS INTERIORES</t>
  </si>
  <si>
    <t>9.5.1</t>
  </si>
  <si>
    <t>9.6</t>
  </si>
  <si>
    <t>9.6.1</t>
  </si>
  <si>
    <t>Radier afinado</t>
  </si>
  <si>
    <t>9.6.2</t>
  </si>
  <si>
    <t>Aislador mecánico</t>
  </si>
  <si>
    <t>9.7</t>
  </si>
  <si>
    <t>PUERTAS  VENTILACIONES</t>
  </si>
  <si>
    <t>9.7.1</t>
  </si>
  <si>
    <t>PUERTAS</t>
  </si>
  <si>
    <t>9.7.1.1</t>
  </si>
  <si>
    <t>PUERTAS DE ABATIR METALICAS</t>
  </si>
  <si>
    <t>9.7.1.1.1</t>
  </si>
  <si>
    <t>Puertas metálicas superiores (PM1)</t>
  </si>
  <si>
    <t>9.7.1.1.2</t>
  </si>
  <si>
    <t>Puertas metálicas inferiores (PM2)</t>
  </si>
  <si>
    <t>9.8</t>
  </si>
  <si>
    <t>CERRALERIA Y QUINCALLERIA</t>
  </si>
  <si>
    <t>9.8.1</t>
  </si>
  <si>
    <t>Bisagras y sistemas de suspensión de puertas</t>
  </si>
  <si>
    <t>9.8.2</t>
  </si>
  <si>
    <t>Cerradura y manillas</t>
  </si>
  <si>
    <t>9.8.3</t>
  </si>
  <si>
    <t>Manillas y travesaños</t>
  </si>
  <si>
    <t>9.9</t>
  </si>
  <si>
    <t>CARPINTERIAS ESPECIALES</t>
  </si>
  <si>
    <t>9.9.1</t>
  </si>
  <si>
    <t>Escaleras</t>
  </si>
  <si>
    <t>9.9.2</t>
  </si>
  <si>
    <t>Gateras</t>
  </si>
  <si>
    <t>9.10</t>
  </si>
  <si>
    <t>CHIMENEA (DEBE SER PROVISTA POR PROVEEDOR DE BOMBA DE PETROLEO)</t>
  </si>
  <si>
    <t>9.11</t>
  </si>
  <si>
    <t>FERRETERIAS Y PROTECCION</t>
  </si>
  <si>
    <t>9.11.1</t>
  </si>
  <si>
    <t>Celosías metálicas</t>
  </si>
  <si>
    <t>9.11.1.1</t>
  </si>
  <si>
    <t>Aluminio</t>
  </si>
  <si>
    <t>9.11.1.2</t>
  </si>
  <si>
    <t>Celosías metálicas canal de aguas y sertina</t>
  </si>
  <si>
    <t>9.12</t>
  </si>
  <si>
    <t>PROTECCION DE MECANISMO</t>
  </si>
  <si>
    <t>9.12.1</t>
  </si>
  <si>
    <t>GENERALIDADES</t>
  </si>
  <si>
    <t>9.12.1.1</t>
  </si>
  <si>
    <t>CLASIFICACION DE SELLOS DE PASADAS</t>
  </si>
  <si>
    <t>9.12.1.1.1</t>
  </si>
  <si>
    <t>Paso de ductos de agua fría</t>
  </si>
  <si>
    <t>9.12.1.1.2</t>
  </si>
  <si>
    <t>Paso ductos de escape</t>
  </si>
  <si>
    <t>9.12.1.1.3</t>
  </si>
  <si>
    <t>PASO DE DUCTOS SANITARIOS DE PVC Y TUBERÃAS DE COMBUSTIBLE PVC Y HDPE</t>
  </si>
  <si>
    <t>9.12.1.1.3.1</t>
  </si>
  <si>
    <t>Paso de ductos en losas</t>
  </si>
  <si>
    <t>9.12.1.1.3.2</t>
  </si>
  <si>
    <t>Paso ductos en muros</t>
  </si>
  <si>
    <t>9.13</t>
  </si>
  <si>
    <t>PINTURA Y BARNICES</t>
  </si>
  <si>
    <t>9.13.1</t>
  </si>
  <si>
    <t>Pintura anticorrosiva</t>
  </si>
  <si>
    <t>9.13.2</t>
  </si>
  <si>
    <t>Esmalte sintético</t>
  </si>
  <si>
    <t>9.13.3</t>
  </si>
  <si>
    <t>Pintura caucho clorado</t>
  </si>
  <si>
    <t>9.14</t>
  </si>
  <si>
    <t>ASEO  LIMPIEZA Y ENTREGA FINAL DE LA OBRA</t>
  </si>
  <si>
    <t>TOTAL COSTO DIRECTO</t>
  </si>
  <si>
    <t>GASTOS GENERALES</t>
  </si>
  <si>
    <t>UTILIDADES</t>
  </si>
  <si>
    <t>COSTO TOTAL</t>
  </si>
  <si>
    <t>IVA</t>
  </si>
  <si>
    <t>VALOR TOTAL DEL PROYECTO</t>
  </si>
  <si>
    <t>NORMALIZACIÓN REDES CONTRA INCENDIO DEL RECINTO</t>
  </si>
  <si>
    <t>NO ENCONTRADO</t>
  </si>
  <si>
    <t>CONSTRUCTORA IA_GEN S.A.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</si>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</sst>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2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42" fontId="0" fillId="0" borderId="4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42" fontId="0" fillId="0" borderId="6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42" fontId="0" fillId="0" borderId="0" xfId="0" applyNumberFormat="1"/>
    <xf numFmtId="42" fontId="0" fillId="0" borderId="6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42" fontId="0" fillId="0" borderId="0" xfId="1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9" fontId="2" fillId="0" borderId="6" xfId="2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2" applyNumberFormat="1" applyFont="1" applyAlignment="1">
      <alignment horizontal="center" vertical="center"/>
    </xf>
    <xf numFmtId="42" fontId="2" fillId="0" borderId="10" xfId="1" applyFont="1" applyBorder="1" applyAlignment="1">
      <alignment horizontal="center" vertical="center"/>
    </xf>
    <xf numFmtId="42" fontId="0" fillId="0" borderId="11" xfId="1" applyFont="1" applyBorder="1" applyAlignment="1">
      <alignment horizontal="center" vertical="center"/>
    </xf>
    <xf numFmtId="42" fontId="0" fillId="0" borderId="9" xfId="1" applyFont="1" applyBorder="1" applyAlignment="1">
      <alignment horizontal="center" vertical="center"/>
    </xf>
    <xf numFmtId="42" fontId="2" fillId="0" borderId="12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42" fontId="0" fillId="2" borderId="6" xfId="1" applyFont="1" applyFill="1" applyBorder="1" applyAlignment="1">
      <alignment horizontal="center" vertical="center"/>
    </xf>
    <xf numFmtId="42" fontId="0" fillId="2" borderId="9" xfId="1" applyFont="1" applyFill="1" applyBorder="1" applyAlignment="1">
      <alignment horizontal="center" vertical="center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</xdr:colOff>
      <xdr:row>7</xdr:row>
      <xdr:rowOff>0</xdr:rowOff>
    </xdr:from>
    <xdr:to>
      <xdr:col>5</xdr:col>
      <xdr:colOff>9525</xdr:colOff>
      <xdr:row>8</xdr:row>
      <xdr:rowOff>180975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DF94F29-625D-DF9D-E2D6-22F2B4AE9865}"/>
            </a:ext>
          </a:extLst>
        </xdr:cNvPr>
        <xdr:cNvSpPr/>
      </xdr:nvSpPr>
      <xdr:spPr>
        <a:xfrm>
          <a:off x="7244715" y="1352550"/>
          <a:ext cx="1575435" cy="371475"/>
        </a:xfrm>
        <a:prstGeom prst="rect">
          <a:avLst/>
        </a:prstGeom>
        <a:solidFill>
          <a:schemeClr val="accent1">
            <a:alpha val="2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205740</xdr:colOff>
      <xdr:row>6</xdr:row>
      <xdr:rowOff>167640</xdr:rowOff>
    </xdr:from>
    <xdr:to>
      <xdr:col>8</xdr:col>
      <xdr:colOff>0</xdr:colOff>
      <xdr:row>9</xdr:row>
      <xdr:rowOff>22860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2CFAFAB3-A249-354B-A10B-919C1B2EBC1F}"/>
            </a:ext>
          </a:extLst>
        </xdr:cNvPr>
        <xdr:cNvSpPr/>
      </xdr:nvSpPr>
      <xdr:spPr>
        <a:xfrm>
          <a:off x="11376660" y="1280160"/>
          <a:ext cx="548640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8</xdr:col>
      <xdr:colOff>35478</xdr:colOff>
      <xdr:row>7</xdr:row>
      <xdr:rowOff>15055</xdr:rowOff>
    </xdr:from>
    <xdr:ext cx="2702727" cy="311496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4358612-3E9C-80FC-B41E-0D3118E549CE}"/>
            </a:ext>
          </a:extLst>
        </xdr:cNvPr>
        <xdr:cNvSpPr/>
      </xdr:nvSpPr>
      <xdr:spPr>
        <a:xfrm>
          <a:off x="11960778" y="1310455"/>
          <a:ext cx="2702727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PRECIOS</a:t>
          </a:r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UNITARIOS ENTREGADOS</a:t>
          </a:r>
          <a:endParaRPr lang="es-ES" sz="1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7</xdr:col>
      <xdr:colOff>342900</xdr:colOff>
      <xdr:row>380</xdr:row>
      <xdr:rowOff>60960</xdr:rowOff>
    </xdr:from>
    <xdr:to>
      <xdr:col>8</xdr:col>
      <xdr:colOff>137160</xdr:colOff>
      <xdr:row>382</xdr:row>
      <xdr:rowOff>99060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A5122D1F-EF82-40E8-BC14-6CDFFFD834D7}"/>
            </a:ext>
          </a:extLst>
        </xdr:cNvPr>
        <xdr:cNvSpPr/>
      </xdr:nvSpPr>
      <xdr:spPr>
        <a:xfrm>
          <a:off x="11513820" y="69570600"/>
          <a:ext cx="548640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8</xdr:col>
      <xdr:colOff>233598</xdr:colOff>
      <xdr:row>380</xdr:row>
      <xdr:rowOff>106495</xdr:rowOff>
    </xdr:from>
    <xdr:ext cx="2702727" cy="311496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7F2BB82-106D-4DB3-86F8-93CABD176C60}"/>
            </a:ext>
          </a:extLst>
        </xdr:cNvPr>
        <xdr:cNvSpPr/>
      </xdr:nvSpPr>
      <xdr:spPr>
        <a:xfrm>
          <a:off x="12158898" y="69616135"/>
          <a:ext cx="2702727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PRECIOS</a:t>
          </a:r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UNITARIOS ENTREGADOS</a:t>
          </a:r>
          <a:endParaRPr lang="es-ES" sz="1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3</xdr:col>
      <xdr:colOff>581025</xdr:colOff>
      <xdr:row>381</xdr:row>
      <xdr:rowOff>19049</xdr:rowOff>
    </xdr:from>
    <xdr:to>
      <xdr:col>5</xdr:col>
      <xdr:colOff>9525</xdr:colOff>
      <xdr:row>382</xdr:row>
      <xdr:rowOff>9524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433010CB-BC7F-ACD4-E1F8-B1B968F377B5}"/>
            </a:ext>
          </a:extLst>
        </xdr:cNvPr>
        <xdr:cNvSpPr/>
      </xdr:nvSpPr>
      <xdr:spPr>
        <a:xfrm>
          <a:off x="7820025" y="72618599"/>
          <a:ext cx="1000125" cy="180975"/>
        </a:xfrm>
        <a:prstGeom prst="rect">
          <a:avLst/>
        </a:prstGeom>
        <a:solidFill>
          <a:schemeClr val="accent1">
            <a:alpha val="2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6</xdr:col>
      <xdr:colOff>1100370</xdr:colOff>
      <xdr:row>384</xdr:row>
      <xdr:rowOff>0</xdr:rowOff>
    </xdr:from>
    <xdr:ext cx="4403449" cy="1407308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2E874D92-6582-4B8B-8314-4F60416457E5}"/>
            </a:ext>
          </a:extLst>
        </xdr:cNvPr>
        <xdr:cNvSpPr/>
      </xdr:nvSpPr>
      <xdr:spPr>
        <a:xfrm>
          <a:off x="11158770" y="70241160"/>
          <a:ext cx="4403449" cy="140730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s-ES" sz="1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GATOS GENERALES ES EL 15% DEL TOTAL</a:t>
          </a:r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COSTO DIRECTO</a:t>
          </a:r>
        </a:p>
        <a:p>
          <a:pPr algn="l"/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UTILIDADES ES EL 15% DEL TOTAL DEL COSTO DIRECTO</a:t>
          </a:r>
        </a:p>
        <a:p>
          <a:pPr algn="l"/>
          <a:endParaRPr lang="es-ES" sz="1400" b="0" cap="none" spc="0" baseline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IVA ES EL 19% DEL COSTO TOTAL</a:t>
          </a:r>
        </a:p>
        <a:p>
          <a:pPr algn="ctr"/>
          <a:endParaRPr lang="es-ES" sz="1400" b="0" cap="none" spc="0" baseline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ctr"/>
          <a:endParaRPr lang="es-ES" sz="1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2</xdr:col>
      <xdr:colOff>530365</xdr:colOff>
      <xdr:row>2</xdr:row>
      <xdr:rowOff>76200</xdr:rowOff>
    </xdr:from>
    <xdr:ext cx="5802551" cy="311496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834F2FC-6BE3-4EFE-9FAE-D8A75309A7B7}"/>
            </a:ext>
          </a:extLst>
        </xdr:cNvPr>
        <xdr:cNvSpPr/>
      </xdr:nvSpPr>
      <xdr:spPr>
        <a:xfrm>
          <a:off x="7175005" y="441960"/>
          <a:ext cx="5802551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LAS UNIDADES "GL" SE</a:t>
          </a:r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PODRAN BUSCAR EN LA HOJA DE PRECIOS GENERALES</a:t>
          </a:r>
          <a:endParaRPr lang="es-ES" sz="1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jandro%20Santander\ProyectoIA\Proyecto_Herramientas_Digitales\PRECIO_MATERIALES.xlsx" TargetMode="External"/><Relationship Id="rId1" Type="http://schemas.openxmlformats.org/officeDocument/2006/relationships/externalLinkPath" Target="PRECIO_MATERI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CIOS_MATERIALES"/>
      <sheetName val="PRECIOS_GENERALES"/>
    </sheetNames>
    <sheetDataSet>
      <sheetData sheetId="0">
        <row r="1">
          <cell r="A1" t="str">
            <v>PRECIOS UNITARIOS Y ACTIVIDADES</v>
          </cell>
        </row>
        <row r="2">
          <cell r="A2" t="str">
            <v>Itém</v>
          </cell>
          <cell r="B2" t="str">
            <v>Uni</v>
          </cell>
          <cell r="C2" t="str">
            <v>P. Unitario</v>
          </cell>
        </row>
        <row r="3">
          <cell r="A3" t="str">
            <v>Adaptador Flange de 4 Pulg</v>
          </cell>
          <cell r="B3" t="str">
            <v>UN</v>
          </cell>
          <cell r="C3">
            <v>55500</v>
          </cell>
        </row>
        <row r="4">
          <cell r="A4" t="str">
            <v>Adaptador Flange de 6 Pulg</v>
          </cell>
          <cell r="B4" t="str">
            <v>UN</v>
          </cell>
          <cell r="C4">
            <v>76859</v>
          </cell>
        </row>
        <row r="5">
          <cell r="A5" t="str">
            <v>AISLACION ESPUMA ELASTOMERICA</v>
          </cell>
          <cell r="B5" t="str">
            <v>MTS</v>
          </cell>
          <cell r="C5">
            <v>1376</v>
          </cell>
        </row>
        <row r="6">
          <cell r="A6" t="str">
            <v>Aluminio</v>
          </cell>
          <cell r="B6" t="str">
            <v>UN</v>
          </cell>
          <cell r="C6">
            <v>310442</v>
          </cell>
        </row>
        <row r="7">
          <cell r="A7" t="str">
            <v>Anclajes sísmicos longitudinales 2 1/2 [Pulg]</v>
          </cell>
          <cell r="B7" t="str">
            <v>UN</v>
          </cell>
          <cell r="C7">
            <v>66844</v>
          </cell>
        </row>
        <row r="8">
          <cell r="A8" t="str">
            <v>Anclajes sísmicos longitudinales 2 1/2 [Pulg]</v>
          </cell>
          <cell r="B8" t="str">
            <v>UN</v>
          </cell>
          <cell r="C8">
            <v>66844</v>
          </cell>
        </row>
        <row r="9">
          <cell r="A9" t="str">
            <v>Anclajes sísmicos longitudinales 2-1/2 [Pulg] Riser</v>
          </cell>
          <cell r="B9" t="str">
            <v>UN</v>
          </cell>
          <cell r="C9">
            <v>66844</v>
          </cell>
        </row>
        <row r="10">
          <cell r="A10" t="str">
            <v>Anclajes sísmicos longitudinales 3 [Pulg]</v>
          </cell>
          <cell r="B10" t="str">
            <v>UN</v>
          </cell>
          <cell r="C10">
            <v>126613</v>
          </cell>
        </row>
        <row r="11">
          <cell r="A11" t="str">
            <v>Anclajes sísmicos longitudinales 3 [Pulg]</v>
          </cell>
          <cell r="B11" t="str">
            <v>UN</v>
          </cell>
          <cell r="C11">
            <v>99137</v>
          </cell>
        </row>
        <row r="12">
          <cell r="A12" t="str">
            <v>Anclajes sísmicos longitudinales 3 [Pulg] Riser</v>
          </cell>
          <cell r="B12" t="str">
            <v>UN</v>
          </cell>
          <cell r="C12">
            <v>126613</v>
          </cell>
        </row>
        <row r="13">
          <cell r="A13" t="str">
            <v>Anclajes sísmicos longitudinales 4 [Pulg] Riser</v>
          </cell>
          <cell r="B13" t="str">
            <v>UN</v>
          </cell>
          <cell r="C13">
            <v>131277</v>
          </cell>
        </row>
        <row r="14">
          <cell r="A14" t="str">
            <v>Anclajes sísmicos longitudinales 6 [Pulg]</v>
          </cell>
          <cell r="B14" t="str">
            <v>UN</v>
          </cell>
          <cell r="C14">
            <v>133485</v>
          </cell>
        </row>
        <row r="15">
          <cell r="A15" t="str">
            <v>Anclajes sísmicos transversales 2 1/2 [Pulg]</v>
          </cell>
          <cell r="B15" t="str">
            <v>UN</v>
          </cell>
          <cell r="C15">
            <v>66844</v>
          </cell>
        </row>
        <row r="16">
          <cell r="A16" t="str">
            <v>Anclajes sísmicos transversales 2 1/2 [Pulg]</v>
          </cell>
          <cell r="B16" t="str">
            <v>UN</v>
          </cell>
          <cell r="C16">
            <v>66844</v>
          </cell>
        </row>
        <row r="17">
          <cell r="A17" t="str">
            <v>Anclajes sísmicos transversales 2-1/2 [Pulg] Riser</v>
          </cell>
          <cell r="B17" t="str">
            <v>UN</v>
          </cell>
          <cell r="C17">
            <v>66844</v>
          </cell>
        </row>
        <row r="18">
          <cell r="A18" t="str">
            <v>Anclajes sísmicos transversales 3 [Pulg]</v>
          </cell>
          <cell r="B18" t="str">
            <v>UN</v>
          </cell>
          <cell r="C18">
            <v>126613</v>
          </cell>
        </row>
        <row r="19">
          <cell r="A19" t="str">
            <v>Anclajes sísmicos transversales 3 [Pulg]</v>
          </cell>
          <cell r="B19" t="str">
            <v>UN</v>
          </cell>
          <cell r="C19">
            <v>99137</v>
          </cell>
        </row>
        <row r="20">
          <cell r="A20" t="str">
            <v>Anclajes sísmicos transversales 3 [Pulg] Riser</v>
          </cell>
          <cell r="B20" t="str">
            <v>UN</v>
          </cell>
          <cell r="C20">
            <v>126613</v>
          </cell>
        </row>
        <row r="21">
          <cell r="A21" t="str">
            <v>Anclajes sísmicos transversales 4 [Pulg] Riser</v>
          </cell>
          <cell r="B21" t="str">
            <v>UN</v>
          </cell>
          <cell r="C21">
            <v>131277</v>
          </cell>
        </row>
        <row r="22">
          <cell r="A22" t="str">
            <v>Anclajes sísmicos transversales 6 [Pulg]</v>
          </cell>
          <cell r="B22" t="str">
            <v>UN</v>
          </cell>
          <cell r="C22">
            <v>133485</v>
          </cell>
        </row>
        <row r="23">
          <cell r="A23" t="str">
            <v>Baterías 12 V</v>
          </cell>
          <cell r="B23" t="str">
            <v>UN</v>
          </cell>
          <cell r="C23">
            <v>114327</v>
          </cell>
        </row>
        <row r="24">
          <cell r="A24" t="str">
            <v>Bomba Principal 750 GPM y 145 PSI, Jockey y Tableros</v>
          </cell>
          <cell r="B24" t="str">
            <v>UN</v>
          </cell>
          <cell r="C24">
            <v>107510730</v>
          </cell>
        </row>
        <row r="25">
          <cell r="A25" t="str">
            <v>Cable Resistente al Fuego FPLR-P</v>
          </cell>
          <cell r="B25" t="str">
            <v>MTS</v>
          </cell>
          <cell r="C25">
            <v>3253</v>
          </cell>
        </row>
        <row r="26">
          <cell r="A26" t="str">
            <v>CAG 25MM</v>
          </cell>
          <cell r="B26" t="str">
            <v>MTS</v>
          </cell>
          <cell r="C26">
            <v>14232</v>
          </cell>
        </row>
        <row r="27">
          <cell r="A27" t="str">
            <v>Caja de Repuestos y Llaves de montajes de cada Rociador instalado</v>
          </cell>
          <cell r="B27" t="str">
            <v>UN</v>
          </cell>
          <cell r="C27">
            <v>173793</v>
          </cell>
        </row>
        <row r="28">
          <cell r="A28" t="str">
            <v>Caja de Repuestos y Llaves de montajes de cada Rociador instalado</v>
          </cell>
          <cell r="B28" t="str">
            <v>UN</v>
          </cell>
          <cell r="C28">
            <v>173793</v>
          </cell>
        </row>
        <row r="29">
          <cell r="A29" t="str">
            <v>CAJA METALICA 100x100mm</v>
          </cell>
          <cell r="B29" t="str">
            <v>UN</v>
          </cell>
          <cell r="C29">
            <v>8996</v>
          </cell>
        </row>
        <row r="30">
          <cell r="A30" t="str">
            <v>CAJA METALICA 100x100mm</v>
          </cell>
          <cell r="B30" t="str">
            <v>UN</v>
          </cell>
          <cell r="C30">
            <v>18475</v>
          </cell>
        </row>
        <row r="31">
          <cell r="A31" t="str">
            <v>CAMARA TIPO D TRANSITO LIVIANO</v>
          </cell>
          <cell r="B31" t="str">
            <v>UN</v>
          </cell>
          <cell r="C31">
            <v>814931</v>
          </cell>
        </row>
        <row r="32">
          <cell r="A32" t="str">
            <v>Canalización Detección EMT 3/4"</v>
          </cell>
          <cell r="B32" t="str">
            <v>MTS</v>
          </cell>
          <cell r="C32">
            <v>10650</v>
          </cell>
        </row>
        <row r="33">
          <cell r="A33" t="str">
            <v>Canalización Detección Galvanizada 3/4"</v>
          </cell>
          <cell r="B33" t="str">
            <v>MTS</v>
          </cell>
          <cell r="C33">
            <v>15124</v>
          </cell>
        </row>
        <row r="34">
          <cell r="A34" t="str">
            <v>Canalización Detección PVC 32mm</v>
          </cell>
          <cell r="B34" t="str">
            <v>MTS</v>
          </cell>
          <cell r="C34">
            <v>5862</v>
          </cell>
        </row>
        <row r="35">
          <cell r="A35" t="str">
            <v>Cañería de 1 1/4"</v>
          </cell>
          <cell r="B35" t="str">
            <v>MTS</v>
          </cell>
          <cell r="C35">
            <v>4608</v>
          </cell>
        </row>
        <row r="36">
          <cell r="A36" t="str">
            <v>Cañería de 1 1/4"</v>
          </cell>
          <cell r="B36" t="str">
            <v>MTS</v>
          </cell>
          <cell r="C36">
            <v>4608</v>
          </cell>
        </row>
        <row r="37">
          <cell r="A37" t="str">
            <v>Cañería de 1"</v>
          </cell>
          <cell r="B37" t="str">
            <v>MTS</v>
          </cell>
          <cell r="C37">
            <v>8015</v>
          </cell>
        </row>
        <row r="38">
          <cell r="A38" t="str">
            <v>Cañería de 1-1/2"</v>
          </cell>
          <cell r="B38" t="str">
            <v>MTS</v>
          </cell>
          <cell r="C38">
            <v>13392</v>
          </cell>
        </row>
        <row r="39">
          <cell r="A39" t="str">
            <v>Cañería de 1-1/4"</v>
          </cell>
          <cell r="B39" t="str">
            <v>MTS</v>
          </cell>
          <cell r="C39">
            <v>4608</v>
          </cell>
        </row>
        <row r="40">
          <cell r="A40" t="str">
            <v>Cañería de 2 1/2"</v>
          </cell>
          <cell r="B40" t="str">
            <v>MTS</v>
          </cell>
          <cell r="C40">
            <v>28451</v>
          </cell>
        </row>
        <row r="41">
          <cell r="A41" t="str">
            <v>Cañería de 2 1/2"</v>
          </cell>
          <cell r="B41" t="str">
            <v>MTS</v>
          </cell>
          <cell r="C41">
            <v>28451</v>
          </cell>
        </row>
        <row r="42">
          <cell r="A42" t="str">
            <v>Cañería de 2"</v>
          </cell>
          <cell r="B42" t="str">
            <v>MTS</v>
          </cell>
          <cell r="C42">
            <v>17092</v>
          </cell>
        </row>
        <row r="43">
          <cell r="A43" t="str">
            <v>Cañería de 2"</v>
          </cell>
          <cell r="B43" t="str">
            <v>MTS</v>
          </cell>
          <cell r="C43">
            <v>4879</v>
          </cell>
        </row>
        <row r="44">
          <cell r="A44" t="str">
            <v>Cañería de 2"</v>
          </cell>
          <cell r="B44" t="str">
            <v>MTS</v>
          </cell>
          <cell r="C44">
            <v>17092</v>
          </cell>
        </row>
        <row r="45">
          <cell r="A45" t="str">
            <v>Cañería de 2-1/2"</v>
          </cell>
          <cell r="B45" t="str">
            <v>MTS</v>
          </cell>
          <cell r="C45">
            <v>9514</v>
          </cell>
        </row>
        <row r="46">
          <cell r="A46" t="str">
            <v>Cañería de 3"</v>
          </cell>
          <cell r="B46" t="str">
            <v>MTS</v>
          </cell>
          <cell r="C46">
            <v>37777</v>
          </cell>
        </row>
        <row r="47">
          <cell r="A47" t="str">
            <v>Cañería de 3"</v>
          </cell>
          <cell r="B47" t="str">
            <v>MTS</v>
          </cell>
          <cell r="C47">
            <v>7380</v>
          </cell>
        </row>
        <row r="48">
          <cell r="A48" t="str">
            <v>Cañería de 3"</v>
          </cell>
          <cell r="B48" t="str">
            <v>MTS</v>
          </cell>
          <cell r="C48">
            <v>37777</v>
          </cell>
        </row>
        <row r="49">
          <cell r="A49" t="str">
            <v>Cañería de 4"</v>
          </cell>
          <cell r="B49" t="str">
            <v>MTS</v>
          </cell>
          <cell r="C49">
            <v>22169</v>
          </cell>
        </row>
        <row r="50">
          <cell r="A50" t="str">
            <v>Cañería de 4"</v>
          </cell>
          <cell r="B50" t="str">
            <v>MTS</v>
          </cell>
          <cell r="C50">
            <v>47144</v>
          </cell>
        </row>
        <row r="51">
          <cell r="A51" t="str">
            <v>Cañería de 6"</v>
          </cell>
          <cell r="B51" t="str">
            <v>MTS</v>
          </cell>
          <cell r="C51">
            <v>47144</v>
          </cell>
        </row>
        <row r="52">
          <cell r="A52" t="str">
            <v>Cañería de 6"</v>
          </cell>
          <cell r="B52" t="str">
            <v>MTS</v>
          </cell>
          <cell r="C52">
            <v>68185</v>
          </cell>
        </row>
        <row r="53">
          <cell r="A53" t="str">
            <v>Cañería HDPE PN16 PE100 de 160mm</v>
          </cell>
          <cell r="B53" t="str">
            <v>MTS</v>
          </cell>
          <cell r="C53">
            <v>68185</v>
          </cell>
        </row>
        <row r="54">
          <cell r="A54" t="str">
            <v>CAÑERIAS Y PIEZAS ESPECIALES</v>
          </cell>
          <cell r="B54" t="str">
            <v>UN</v>
          </cell>
          <cell r="C54">
            <v>871503</v>
          </cell>
        </row>
        <row r="55">
          <cell r="A55" t="str">
            <v>Celosías metálicas</v>
          </cell>
          <cell r="B55" t="str">
            <v>UN</v>
          </cell>
          <cell r="C55">
            <v>310442</v>
          </cell>
        </row>
        <row r="56">
          <cell r="A56" t="str">
            <v>Celosías metálicas canal de aguas y sertina</v>
          </cell>
          <cell r="B56" t="str">
            <v>M2</v>
          </cell>
          <cell r="C56">
            <v>310442</v>
          </cell>
        </row>
        <row r="57">
          <cell r="A57" t="str">
            <v>CENTROS ARRANQUES</v>
          </cell>
          <cell r="B57" t="str">
            <v>UN</v>
          </cell>
          <cell r="C57">
            <v>162831</v>
          </cell>
        </row>
        <row r="58">
          <cell r="A58" t="str">
            <v>CENTROS DE ILUMINACION</v>
          </cell>
          <cell r="B58" t="str">
            <v>UN</v>
          </cell>
          <cell r="C58">
            <v>26492</v>
          </cell>
        </row>
        <row r="59">
          <cell r="A59" t="str">
            <v>CENTROS ENCHUFES</v>
          </cell>
          <cell r="B59" t="str">
            <v>UN</v>
          </cell>
          <cell r="C59">
            <v>60880</v>
          </cell>
        </row>
        <row r="60">
          <cell r="A60" t="str">
            <v>CINTA 25MM</v>
          </cell>
          <cell r="B60" t="str">
            <v>MTS</v>
          </cell>
          <cell r="C60">
            <v>26013</v>
          </cell>
        </row>
        <row r="61">
          <cell r="A61" t="str">
            <v>Codo 1-1/4"</v>
          </cell>
          <cell r="B61" t="str">
            <v>UN</v>
          </cell>
          <cell r="C61">
            <v>5645</v>
          </cell>
        </row>
        <row r="62">
          <cell r="A62" t="str">
            <v>Codo 2 1/2"</v>
          </cell>
          <cell r="B62" t="str">
            <v>UN</v>
          </cell>
          <cell r="C62">
            <v>7380</v>
          </cell>
        </row>
        <row r="63">
          <cell r="A63" t="str">
            <v>Codo 2 1/2" 45"</v>
          </cell>
          <cell r="B63" t="str">
            <v>UN</v>
          </cell>
          <cell r="C63">
            <v>6831</v>
          </cell>
        </row>
        <row r="64">
          <cell r="A64" t="str">
            <v>Codo 2 1/2" 90"</v>
          </cell>
          <cell r="B64" t="str">
            <v>UN</v>
          </cell>
          <cell r="C64">
            <v>7380</v>
          </cell>
        </row>
        <row r="65">
          <cell r="A65" t="str">
            <v>Codo 2"</v>
          </cell>
          <cell r="B65" t="str">
            <v>UN</v>
          </cell>
          <cell r="C65">
            <v>15210</v>
          </cell>
        </row>
        <row r="66">
          <cell r="A66" t="str">
            <v>Codo 2"</v>
          </cell>
          <cell r="B66" t="str">
            <v>UN</v>
          </cell>
          <cell r="C66">
            <v>15210</v>
          </cell>
        </row>
        <row r="67">
          <cell r="A67" t="str">
            <v>Codo 2" 45"</v>
          </cell>
          <cell r="B67" t="str">
            <v>UN</v>
          </cell>
          <cell r="C67">
            <v>5794</v>
          </cell>
        </row>
        <row r="68">
          <cell r="A68" t="str">
            <v>Codo 2" 90"</v>
          </cell>
          <cell r="B68" t="str">
            <v>UN</v>
          </cell>
          <cell r="C68">
            <v>6129</v>
          </cell>
        </row>
        <row r="69">
          <cell r="A69" t="str">
            <v>Codo 2-1/2"</v>
          </cell>
          <cell r="B69" t="str">
            <v>UN</v>
          </cell>
          <cell r="C69">
            <v>21296</v>
          </cell>
        </row>
        <row r="70">
          <cell r="A70" t="str">
            <v>Codo 3"</v>
          </cell>
          <cell r="B70" t="str">
            <v>UN</v>
          </cell>
          <cell r="C70">
            <v>10795</v>
          </cell>
        </row>
        <row r="71">
          <cell r="A71" t="str">
            <v>Codo 3"</v>
          </cell>
          <cell r="B71" t="str">
            <v>UN</v>
          </cell>
          <cell r="C71">
            <v>28948</v>
          </cell>
        </row>
        <row r="72">
          <cell r="A72" t="str">
            <v>Codo 3" 45"</v>
          </cell>
          <cell r="B72" t="str">
            <v>UN</v>
          </cell>
          <cell r="C72">
            <v>10795</v>
          </cell>
        </row>
        <row r="73">
          <cell r="A73" t="str">
            <v>Codo 3" 90"</v>
          </cell>
          <cell r="B73" t="str">
            <v>UN</v>
          </cell>
          <cell r="C73">
            <v>10795</v>
          </cell>
        </row>
        <row r="74">
          <cell r="A74" t="str">
            <v>Codo 4"</v>
          </cell>
          <cell r="B74" t="str">
            <v>UN</v>
          </cell>
          <cell r="C74">
            <v>58554</v>
          </cell>
        </row>
        <row r="75">
          <cell r="A75" t="str">
            <v>Codo 6"</v>
          </cell>
          <cell r="B75" t="str">
            <v>UN</v>
          </cell>
          <cell r="C75">
            <v>121971</v>
          </cell>
        </row>
        <row r="76">
          <cell r="A76" t="str">
            <v>Codo 6"</v>
          </cell>
          <cell r="B76" t="str">
            <v>UN</v>
          </cell>
          <cell r="C76">
            <v>121971</v>
          </cell>
        </row>
        <row r="77">
          <cell r="A77" t="str">
            <v>Codo de descarga 4" x 6"</v>
          </cell>
          <cell r="B77" t="str">
            <v>UN</v>
          </cell>
          <cell r="C77">
            <v>39643</v>
          </cell>
        </row>
        <row r="78">
          <cell r="A78" t="str">
            <v>Codo HDPE PN16 de 160mm</v>
          </cell>
          <cell r="B78" t="str">
            <v>UN</v>
          </cell>
          <cell r="C78">
            <v>121971</v>
          </cell>
        </row>
        <row r="79">
          <cell r="A79" t="str">
            <v>Codo reducción 1" x 1/2"</v>
          </cell>
          <cell r="B79" t="str">
            <v>UN</v>
          </cell>
          <cell r="C79">
            <v>7929</v>
          </cell>
        </row>
        <row r="80">
          <cell r="A80" t="str">
            <v>Colgadores 1 [Pulg]</v>
          </cell>
          <cell r="B80" t="str">
            <v>UN</v>
          </cell>
          <cell r="C80">
            <v>549</v>
          </cell>
        </row>
        <row r="81">
          <cell r="A81" t="str">
            <v>Colgadores 1-1/2 [Pulg]</v>
          </cell>
          <cell r="B81" t="str">
            <v>UN</v>
          </cell>
          <cell r="C81">
            <v>671</v>
          </cell>
        </row>
        <row r="82">
          <cell r="A82" t="str">
            <v>Colgadores 1-1/4 [Pulg]</v>
          </cell>
          <cell r="B82" t="str">
            <v>UN</v>
          </cell>
          <cell r="C82">
            <v>640</v>
          </cell>
        </row>
        <row r="83">
          <cell r="A83" t="str">
            <v>Colgadores 1-1/4 [Pulg]</v>
          </cell>
          <cell r="B83" t="str">
            <v>UN</v>
          </cell>
          <cell r="C83">
            <v>640</v>
          </cell>
        </row>
        <row r="84">
          <cell r="A84" t="str">
            <v>Colgadores 2 [Pulg]</v>
          </cell>
          <cell r="B84" t="str">
            <v>UN</v>
          </cell>
          <cell r="C84">
            <v>671</v>
          </cell>
        </row>
        <row r="85">
          <cell r="A85" t="str">
            <v>Colgadores 2 [Pulg]</v>
          </cell>
          <cell r="B85" t="str">
            <v>UN</v>
          </cell>
          <cell r="C85">
            <v>671</v>
          </cell>
        </row>
        <row r="86">
          <cell r="A86" t="str">
            <v>Colgadores 2 1/2 [Pulg]</v>
          </cell>
          <cell r="B86" t="str">
            <v>UN</v>
          </cell>
          <cell r="C86">
            <v>823</v>
          </cell>
        </row>
        <row r="87">
          <cell r="A87" t="str">
            <v>Colgadores 2 1/2 [Pulg]</v>
          </cell>
          <cell r="B87" t="str">
            <v>UN</v>
          </cell>
          <cell r="C87">
            <v>823</v>
          </cell>
        </row>
        <row r="88">
          <cell r="A88" t="str">
            <v>Colgadores 3 [Pulg]</v>
          </cell>
          <cell r="B88" t="str">
            <v>UN</v>
          </cell>
          <cell r="C88">
            <v>945</v>
          </cell>
        </row>
        <row r="89">
          <cell r="A89" t="str">
            <v>Colgadores 3 [Pulg]</v>
          </cell>
          <cell r="B89" t="str">
            <v>UN</v>
          </cell>
          <cell r="C89">
            <v>945</v>
          </cell>
        </row>
        <row r="90">
          <cell r="A90" t="str">
            <v>CONDUCTOR SILICONADO RZ1-K AS+</v>
          </cell>
          <cell r="B90" t="str">
            <v>MTS</v>
          </cell>
          <cell r="C90">
            <v>19913</v>
          </cell>
        </row>
        <row r="91">
          <cell r="A91" t="str">
            <v>CONEXION A MEDIDOR EXISTENTE</v>
          </cell>
          <cell r="B91" t="str">
            <v>UN</v>
          </cell>
          <cell r="C91">
            <v>665996</v>
          </cell>
        </row>
        <row r="92">
          <cell r="A92" t="str">
            <v>CONEXION LLENADO ESTANQUE ACUMULACION</v>
          </cell>
          <cell r="B92" t="str">
            <v>UN</v>
          </cell>
          <cell r="C92">
            <v>951422</v>
          </cell>
        </row>
        <row r="93">
          <cell r="A93" t="str">
            <v>Conexión Storz 2 1/2", con tapa y cadena (Toma exterior)</v>
          </cell>
          <cell r="B93" t="str">
            <v>UN</v>
          </cell>
          <cell r="C93">
            <v>49303</v>
          </cell>
        </row>
        <row r="94">
          <cell r="A94" t="str">
            <v>Copia Storz de 2"</v>
          </cell>
          <cell r="B94" t="str">
            <v>UN</v>
          </cell>
          <cell r="C94">
            <v>36135</v>
          </cell>
        </row>
        <row r="95">
          <cell r="A95" t="str">
            <v>D=50MM</v>
          </cell>
          <cell r="B95" t="str">
            <v>UN</v>
          </cell>
          <cell r="C95">
            <v>30446</v>
          </cell>
        </row>
        <row r="96">
          <cell r="A96" t="str">
            <v>D=63MM</v>
          </cell>
          <cell r="B96" t="str">
            <v>UN</v>
          </cell>
          <cell r="C96">
            <v>51358</v>
          </cell>
        </row>
        <row r="97">
          <cell r="A97" t="str">
            <v>D=75MM</v>
          </cell>
          <cell r="B97" t="str">
            <v>UN</v>
          </cell>
          <cell r="C97">
            <v>85628</v>
          </cell>
        </row>
        <row r="98">
          <cell r="A98" t="str">
            <v>Demoliciones desmontaje excavaciones y transporte</v>
          </cell>
          <cell r="B98" t="str">
            <v>M3</v>
          </cell>
          <cell r="C98">
            <v>94667</v>
          </cell>
        </row>
        <row r="99">
          <cell r="A99" t="str">
            <v>Despeje del terreno</v>
          </cell>
          <cell r="B99" t="str">
            <v>M2</v>
          </cell>
          <cell r="C99">
            <v>14271</v>
          </cell>
        </row>
        <row r="100">
          <cell r="A100" t="str">
            <v>Detector Humo Inteligente</v>
          </cell>
          <cell r="B100" t="str">
            <v>UN</v>
          </cell>
          <cell r="C100">
            <v>120884</v>
          </cell>
        </row>
        <row r="101">
          <cell r="A101" t="str">
            <v>Detector Termovelocimétrico Inteligente</v>
          </cell>
          <cell r="B101" t="str">
            <v>UN</v>
          </cell>
          <cell r="C101">
            <v>116231</v>
          </cell>
        </row>
        <row r="102">
          <cell r="A102" t="str">
            <v>Empaquetadura</v>
          </cell>
          <cell r="B102" t="str">
            <v>UN</v>
          </cell>
          <cell r="C102">
            <v>2283</v>
          </cell>
        </row>
        <row r="103">
          <cell r="A103" t="str">
            <v>ENCHUFE DOBLE 16A</v>
          </cell>
          <cell r="B103" t="str">
            <v>UN</v>
          </cell>
          <cell r="C103">
            <v>67552</v>
          </cell>
        </row>
        <row r="104">
          <cell r="A104" t="str">
            <v>ENCHUFE HELMETO DE BOMBEROS P17 2P+T 16A 220V IP 67</v>
          </cell>
          <cell r="B104" t="str">
            <v>UN</v>
          </cell>
          <cell r="C104">
            <v>62160</v>
          </cell>
        </row>
        <row r="105">
          <cell r="A105" t="str">
            <v>ENCHUFE RED BOMBEROS P17 2P+T 16A 220V IP 67</v>
          </cell>
          <cell r="B105" t="str">
            <v>UN</v>
          </cell>
          <cell r="C105">
            <v>75646</v>
          </cell>
        </row>
        <row r="106">
          <cell r="A106" t="str">
            <v>EQUIPO LED HERMETICO ESTANCO 40W</v>
          </cell>
          <cell r="B106" t="str">
            <v>UN</v>
          </cell>
          <cell r="C106">
            <v>32348</v>
          </cell>
        </row>
        <row r="107">
          <cell r="A107" t="str">
            <v>Escalera galera</v>
          </cell>
          <cell r="B107" t="str">
            <v>KG</v>
          </cell>
          <cell r="C107">
            <v>20400</v>
          </cell>
        </row>
        <row r="108">
          <cell r="A108" t="str">
            <v>Esmalte sintético</v>
          </cell>
          <cell r="B108" t="str">
            <v>M2</v>
          </cell>
          <cell r="C108">
            <v>24737</v>
          </cell>
        </row>
        <row r="109">
          <cell r="A109" t="str">
            <v>EXCAVACIONES</v>
          </cell>
          <cell r="B109" t="str">
            <v>M3</v>
          </cell>
          <cell r="C109">
            <v>66600</v>
          </cell>
        </row>
        <row r="110">
          <cell r="A110" t="str">
            <v>Excavaciones generales</v>
          </cell>
          <cell r="B110" t="str">
            <v>M3</v>
          </cell>
          <cell r="C110">
            <v>66600</v>
          </cell>
        </row>
        <row r="111">
          <cell r="A111" t="str">
            <v>Excavaciones para cimientos</v>
          </cell>
          <cell r="B111" t="str">
            <v>M3</v>
          </cell>
          <cell r="C111">
            <v>66600</v>
          </cell>
        </row>
        <row r="112">
          <cell r="A112" t="str">
            <v>Fierro de fundaciones</v>
          </cell>
          <cell r="B112" t="str">
            <v>KG</v>
          </cell>
          <cell r="C112">
            <v>5138</v>
          </cell>
        </row>
        <row r="113">
          <cell r="A113" t="str">
            <v>FILTROS</v>
          </cell>
          <cell r="B113" t="str">
            <v>UN</v>
          </cell>
          <cell r="C113">
            <v>87150</v>
          </cell>
        </row>
        <row r="114">
          <cell r="A114" t="str">
            <v>Flange Acero Slip-on</v>
          </cell>
          <cell r="B114" t="str">
            <v>UN</v>
          </cell>
          <cell r="C114">
            <v>24452</v>
          </cell>
        </row>
        <row r="115">
          <cell r="A115" t="str">
            <v>Flange Valante DIN 6"</v>
          </cell>
          <cell r="B115" t="str">
            <v>UN</v>
          </cell>
          <cell r="C115">
            <v>57753</v>
          </cell>
        </row>
        <row r="116">
          <cell r="A116" t="str">
            <v>Fuente de Poder remota 8.0 Ampa con cargador y gabinete, 240 VAC</v>
          </cell>
          <cell r="B116" t="str">
            <v>UN</v>
          </cell>
          <cell r="C116">
            <v>38057</v>
          </cell>
        </row>
        <row r="117">
          <cell r="A117" t="str">
            <v>Fundaciones</v>
          </cell>
          <cell r="B117" t="str">
            <v>KG</v>
          </cell>
          <cell r="C117">
            <v>6660</v>
          </cell>
        </row>
        <row r="118">
          <cell r="A118" t="str">
            <v>Fundaciones de edificios</v>
          </cell>
          <cell r="B118" t="str">
            <v>M3</v>
          </cell>
          <cell r="C118">
            <v>283238</v>
          </cell>
        </row>
        <row r="119">
          <cell r="A119" t="str">
            <v>Gabinete de manguera con 30 [m] de manguera semirrígida de 1" y PitÃ³n regulable</v>
          </cell>
          <cell r="B119" t="str">
            <v>UN</v>
          </cell>
          <cell r="C119">
            <v>1667216</v>
          </cell>
        </row>
        <row r="120">
          <cell r="A120" t="str">
            <v>Gateras</v>
          </cell>
          <cell r="B120" t="str">
            <v>UN</v>
          </cell>
          <cell r="C120">
            <v>418150</v>
          </cell>
        </row>
        <row r="121">
          <cell r="A121" t="str">
            <v>Impermeabilización bajo pavimentos</v>
          </cell>
          <cell r="B121" t="str">
            <v>M2</v>
          </cell>
          <cell r="C121">
            <v>18454</v>
          </cell>
        </row>
        <row r="122">
          <cell r="A122" t="str">
            <v>Impermeabilización de canaletas de hormigón</v>
          </cell>
          <cell r="B122" t="str">
            <v>M2</v>
          </cell>
          <cell r="C122">
            <v>18454</v>
          </cell>
        </row>
        <row r="123">
          <cell r="A123" t="str">
            <v>Impermeabilización de estanques de agua potable</v>
          </cell>
          <cell r="B123" t="str">
            <v>M2</v>
          </cell>
          <cell r="C123">
            <v>12576</v>
          </cell>
        </row>
        <row r="124">
          <cell r="A124" t="str">
            <v>Impermeabilización de muros de contención  muros y HA</v>
          </cell>
          <cell r="B124" t="str">
            <v>M2</v>
          </cell>
          <cell r="C124">
            <v>14214</v>
          </cell>
        </row>
        <row r="125">
          <cell r="A125" t="str">
            <v>Impermeabilización general bajo fundaciones</v>
          </cell>
          <cell r="B125" t="str">
            <v>M2</v>
          </cell>
          <cell r="C125">
            <v>18454</v>
          </cell>
        </row>
        <row r="126">
          <cell r="A126" t="str">
            <v>Impermeabilización superficial de muros</v>
          </cell>
          <cell r="B126" t="str">
            <v>M2</v>
          </cell>
          <cell r="C126">
            <v>27808</v>
          </cell>
        </row>
        <row r="127">
          <cell r="A127" t="str">
            <v>INTERRUPTOR 892</v>
          </cell>
          <cell r="B127" t="str">
            <v>UN</v>
          </cell>
          <cell r="C127">
            <v>62612</v>
          </cell>
        </row>
        <row r="128">
          <cell r="A128" t="str">
            <v>KIT EMERGENCIA LEDS</v>
          </cell>
          <cell r="B128" t="str">
            <v>UN</v>
          </cell>
          <cell r="C128">
            <v>28914</v>
          </cell>
        </row>
        <row r="129">
          <cell r="A129" t="str">
            <v>LED TIPO TORTUGA 15W</v>
          </cell>
          <cell r="B129" t="str">
            <v>UN</v>
          </cell>
          <cell r="C129">
            <v>22492</v>
          </cell>
        </row>
        <row r="130">
          <cell r="A130" t="str">
            <v>Losas</v>
          </cell>
          <cell r="B130" t="str">
            <v>KG</v>
          </cell>
          <cell r="C130">
            <v>6660</v>
          </cell>
        </row>
        <row r="131">
          <cell r="A131" t="str">
            <v>Losas</v>
          </cell>
          <cell r="B131" t="str">
            <v>M3</v>
          </cell>
          <cell r="C131">
            <v>319678</v>
          </cell>
        </row>
        <row r="132">
          <cell r="A132" t="str">
            <v>Losas</v>
          </cell>
          <cell r="B132" t="str">
            <v>M2</v>
          </cell>
          <cell r="C132">
            <v>58967</v>
          </cell>
        </row>
        <row r="133">
          <cell r="A133" t="str">
            <v>Manómetros 3.5 Pulg</v>
          </cell>
          <cell r="B133" t="str">
            <v>UN</v>
          </cell>
          <cell r="C133">
            <v>94825</v>
          </cell>
        </row>
        <row r="134">
          <cell r="A134" t="str">
            <v>Manómetros 3.5 Pulg</v>
          </cell>
          <cell r="B134" t="str">
            <v>UN</v>
          </cell>
          <cell r="C134">
            <v>94825</v>
          </cell>
        </row>
        <row r="135">
          <cell r="A135" t="str">
            <v>Material excedente</v>
          </cell>
          <cell r="B135" t="str">
            <v>M3</v>
          </cell>
          <cell r="C135">
            <v>82774</v>
          </cell>
        </row>
        <row r="136">
          <cell r="A136" t="str">
            <v>Medidor de Flujo Tipo Venturi de 6"</v>
          </cell>
          <cell r="B136" t="str">
            <v>UN</v>
          </cell>
          <cell r="C136">
            <v>94825</v>
          </cell>
        </row>
        <row r="137">
          <cell r="A137" t="str">
            <v>Modulo de Aislación</v>
          </cell>
          <cell r="B137" t="str">
            <v>UN</v>
          </cell>
          <cell r="C137">
            <v>119406</v>
          </cell>
        </row>
        <row r="138">
          <cell r="A138" t="str">
            <v>Modulo de Control</v>
          </cell>
          <cell r="B138" t="str">
            <v>UN</v>
          </cell>
          <cell r="C138">
            <v>153161</v>
          </cell>
        </row>
        <row r="139">
          <cell r="A139" t="str">
            <v>Modulo de Monitoreo</v>
          </cell>
          <cell r="B139" t="str">
            <v>UN</v>
          </cell>
          <cell r="C139">
            <v>111487</v>
          </cell>
        </row>
        <row r="140">
          <cell r="A140" t="str">
            <v>Muros</v>
          </cell>
          <cell r="B140" t="str">
            <v>M2</v>
          </cell>
          <cell r="C140">
            <v>58967</v>
          </cell>
        </row>
        <row r="141">
          <cell r="A141" t="str">
            <v>Muros - pilares</v>
          </cell>
          <cell r="B141" t="str">
            <v>M3</v>
          </cell>
          <cell r="C141">
            <v>319678</v>
          </cell>
        </row>
        <row r="142">
          <cell r="A142" t="str">
            <v>Muros-pilares</v>
          </cell>
          <cell r="B142" t="str">
            <v>KG</v>
          </cell>
          <cell r="C142">
            <v>6660</v>
          </cell>
        </row>
        <row r="143">
          <cell r="A143" t="str">
            <v>Niple tuerca de 2"</v>
          </cell>
          <cell r="B143" t="str">
            <v>UN</v>
          </cell>
          <cell r="C143">
            <v>4344</v>
          </cell>
        </row>
        <row r="144">
          <cell r="A144" t="str">
            <v>Panel de Alarmas de Incendio Inteligente NFS-3030</v>
          </cell>
          <cell r="B144" t="str">
            <v>UN</v>
          </cell>
          <cell r="C144">
            <v>5615538</v>
          </cell>
        </row>
        <row r="145">
          <cell r="A145" t="str">
            <v>Paso de ductos de agua fría</v>
          </cell>
          <cell r="B145" t="str">
            <v>UN</v>
          </cell>
          <cell r="C145">
            <v>38057</v>
          </cell>
        </row>
        <row r="146">
          <cell r="A146" t="str">
            <v>Paso ductos de escape</v>
          </cell>
          <cell r="B146" t="str">
            <v>UN</v>
          </cell>
          <cell r="C146">
            <v>38057</v>
          </cell>
        </row>
        <row r="147">
          <cell r="A147" t="str">
            <v>Pintura anticorrosiva</v>
          </cell>
          <cell r="B147" t="str">
            <v>M2</v>
          </cell>
          <cell r="C147">
            <v>25688</v>
          </cell>
        </row>
        <row r="148">
          <cell r="A148" t="str">
            <v>Pintura caucho clorado</v>
          </cell>
          <cell r="B148" t="str">
            <v>M2</v>
          </cell>
          <cell r="C148">
            <v>28543</v>
          </cell>
        </row>
        <row r="149">
          <cell r="A149" t="str">
            <v>PLANOS AS-BUILT</v>
          </cell>
          <cell r="B149" t="str">
            <v>UN</v>
          </cell>
          <cell r="C149">
            <v>570853</v>
          </cell>
        </row>
        <row r="150">
          <cell r="A150" t="str">
            <v>PPR 50MM</v>
          </cell>
          <cell r="B150" t="str">
            <v>MTS</v>
          </cell>
          <cell r="C150">
            <v>11336</v>
          </cell>
        </row>
        <row r="151">
          <cell r="A151" t="str">
            <v>PPR 63MM</v>
          </cell>
          <cell r="B151" t="str">
            <v>MTS</v>
          </cell>
          <cell r="C151">
            <v>17932</v>
          </cell>
        </row>
        <row r="152">
          <cell r="A152" t="str">
            <v>PPR 75MM</v>
          </cell>
          <cell r="B152" t="str">
            <v>MTS</v>
          </cell>
          <cell r="C152">
            <v>25556</v>
          </cell>
        </row>
        <row r="153">
          <cell r="A153" t="str">
            <v>Programación</v>
          </cell>
          <cell r="B153" t="str">
            <v>UN</v>
          </cell>
          <cell r="C153">
            <v>7403969</v>
          </cell>
        </row>
        <row r="154">
          <cell r="A154" t="str">
            <v>Puertas metálicas inferiores (PM2)</v>
          </cell>
          <cell r="B154" t="str">
            <v>UN</v>
          </cell>
          <cell r="C154">
            <v>3008398</v>
          </cell>
        </row>
        <row r="155">
          <cell r="A155" t="str">
            <v>Puertas metálicas superiores (PM1)</v>
          </cell>
          <cell r="B155" t="str">
            <v>UN</v>
          </cell>
          <cell r="C155">
            <v>1434745</v>
          </cell>
        </row>
        <row r="156">
          <cell r="A156" t="str">
            <v>Pulsador Manual de Alarma</v>
          </cell>
          <cell r="B156" t="str">
            <v>UN</v>
          </cell>
          <cell r="C156">
            <v>296858</v>
          </cell>
        </row>
        <row r="157">
          <cell r="A157" t="str">
            <v>PVC 50MM SCH 40</v>
          </cell>
          <cell r="B157" t="str">
            <v>MTS</v>
          </cell>
          <cell r="C157">
            <v>9179</v>
          </cell>
        </row>
        <row r="158">
          <cell r="A158" t="str">
            <v>PVC H. 50MM</v>
          </cell>
          <cell r="B158" t="str">
            <v>MTS</v>
          </cell>
          <cell r="C158">
            <v>1183</v>
          </cell>
        </row>
        <row r="159">
          <cell r="A159" t="str">
            <v>PVC H. 75MM</v>
          </cell>
          <cell r="B159" t="str">
            <v>MTS</v>
          </cell>
          <cell r="C159">
            <v>3886</v>
          </cell>
        </row>
        <row r="160">
          <cell r="A160" t="str">
            <v>Radier afinado</v>
          </cell>
          <cell r="B160" t="str">
            <v>M2</v>
          </cell>
          <cell r="C160">
            <v>22714</v>
          </cell>
        </row>
        <row r="161">
          <cell r="A161" t="str">
            <v>Radier armado</v>
          </cell>
          <cell r="B161" t="str">
            <v>KG</v>
          </cell>
          <cell r="C161">
            <v>6660</v>
          </cell>
        </row>
        <row r="162">
          <cell r="A162" t="str">
            <v>RECEPCION  ELECTRICA DEFINITIVA TE-1</v>
          </cell>
          <cell r="B162" t="str">
            <v>UN</v>
          </cell>
          <cell r="C162">
            <v>570853</v>
          </cell>
        </row>
        <row r="163">
          <cell r="A163" t="str">
            <v>Reducción 1" x 1/2"</v>
          </cell>
          <cell r="B163" t="str">
            <v>UN</v>
          </cell>
          <cell r="C163">
            <v>1921</v>
          </cell>
        </row>
        <row r="164">
          <cell r="A164" t="str">
            <v>Reducción 2 1/2" x 2"</v>
          </cell>
          <cell r="B164" t="str">
            <v>UN</v>
          </cell>
          <cell r="C164">
            <v>5001</v>
          </cell>
        </row>
        <row r="165">
          <cell r="A165" t="str">
            <v>Reducción 2" x 1 1/4"</v>
          </cell>
          <cell r="B165" t="str">
            <v>UN</v>
          </cell>
          <cell r="C165">
            <v>17760</v>
          </cell>
        </row>
        <row r="166">
          <cell r="A166" t="str">
            <v>Reducción 3" x 2 1/2"</v>
          </cell>
          <cell r="B166" t="str">
            <v>UN</v>
          </cell>
          <cell r="C166">
            <v>5306</v>
          </cell>
        </row>
        <row r="167">
          <cell r="A167" t="str">
            <v>Reducción 3" x 2 1/2"</v>
          </cell>
          <cell r="B167" t="str">
            <v>UN</v>
          </cell>
          <cell r="C167">
            <v>5306</v>
          </cell>
        </row>
        <row r="168">
          <cell r="A168" t="str">
            <v>Rellenos</v>
          </cell>
          <cell r="B168" t="str">
            <v>M3</v>
          </cell>
          <cell r="C168">
            <v>70405</v>
          </cell>
        </row>
        <row r="169">
          <cell r="A169" t="str">
            <v>Rellenos y base de pavimentos</v>
          </cell>
          <cell r="B169" t="str">
            <v>M2</v>
          </cell>
          <cell r="C169">
            <v>58037</v>
          </cell>
        </row>
        <row r="170">
          <cell r="A170" t="str">
            <v>RELLENOS Y COMPACTACION</v>
          </cell>
          <cell r="B170" t="str">
            <v>M3</v>
          </cell>
          <cell r="C170">
            <v>70405</v>
          </cell>
        </row>
        <row r="171">
          <cell r="A171" t="str">
            <v>Rellenos y/o losas</v>
          </cell>
          <cell r="B171" t="str">
            <v>M3</v>
          </cell>
          <cell r="C171">
            <v>257550</v>
          </cell>
        </row>
        <row r="172">
          <cell r="A172" t="str">
            <v>RETIRO DE EXCEDENTES</v>
          </cell>
          <cell r="B172" t="str">
            <v>M3</v>
          </cell>
          <cell r="C172">
            <v>82774</v>
          </cell>
        </row>
        <row r="173">
          <cell r="A173" t="str">
            <v>Revoque de mortero de cemento</v>
          </cell>
          <cell r="B173" t="str">
            <v>M2</v>
          </cell>
          <cell r="C173">
            <v>27761</v>
          </cell>
        </row>
        <row r="174">
          <cell r="A174" t="str">
            <v>Revoque de mortero de cemento</v>
          </cell>
          <cell r="B174" t="str">
            <v>M2</v>
          </cell>
          <cell r="C174">
            <v>27761</v>
          </cell>
        </row>
        <row r="175">
          <cell r="A175" t="str">
            <v>Rociador Colgante Respuesta Estándar, K6.0, 165° F (74° C), 1/2" NPT</v>
          </cell>
          <cell r="B175" t="str">
            <v>UN</v>
          </cell>
          <cell r="C175">
            <v>158570</v>
          </cell>
        </row>
        <row r="176">
          <cell r="A176" t="str">
            <v>Rociador Colgante semiembutido, Respuesta Rápida, K5.6, 165° F (68° C), 1/2" NPT</v>
          </cell>
          <cell r="B176" t="str">
            <v>UN</v>
          </cell>
          <cell r="C176">
            <v>18175</v>
          </cell>
        </row>
        <row r="177">
          <cell r="A177" t="str">
            <v>Rociador Colgante, Respuesta estándar, K8, 165° F (74° C), 1/2" NPT</v>
          </cell>
          <cell r="B177" t="str">
            <v>UN</v>
          </cell>
          <cell r="C177">
            <v>63672</v>
          </cell>
        </row>
        <row r="178">
          <cell r="A178" t="str">
            <v>Rociador Lateral Oculto (Institucional), Respuesta Estándar, K5.6, 165° F (74° C), 1/2" NPT</v>
          </cell>
          <cell r="B178" t="str">
            <v>UN</v>
          </cell>
          <cell r="C178">
            <v>90477</v>
          </cell>
        </row>
        <row r="179">
          <cell r="A179" t="str">
            <v>Rociador Lateral Oculto, Respuesta Rápida, K5.6, 165° F (74° C), 1/2" NPT</v>
          </cell>
          <cell r="B179" t="str">
            <v>UN</v>
          </cell>
          <cell r="C179">
            <v>110999</v>
          </cell>
        </row>
        <row r="180">
          <cell r="A180" t="str">
            <v>Rociador Montante, Respuesta Rápida, K5.6, 155° F (68° C), 1/2" NPT</v>
          </cell>
          <cell r="B180" t="str">
            <v>UN</v>
          </cell>
          <cell r="C180">
            <v>13692</v>
          </cell>
        </row>
        <row r="181">
          <cell r="A181" t="str">
            <v>Sensor de Flujo 2-1/2"</v>
          </cell>
          <cell r="B181" t="str">
            <v>UN</v>
          </cell>
          <cell r="C181">
            <v>688034</v>
          </cell>
        </row>
        <row r="182">
          <cell r="A182" t="str">
            <v>Sensor de Flujo 3"</v>
          </cell>
          <cell r="B182" t="str">
            <v>UN</v>
          </cell>
          <cell r="C182">
            <v>370560</v>
          </cell>
        </row>
        <row r="183">
          <cell r="A183" t="str">
            <v>Sensor de Flujo de 2"</v>
          </cell>
          <cell r="B183" t="str">
            <v>UN</v>
          </cell>
          <cell r="C183">
            <v>365663</v>
          </cell>
        </row>
        <row r="184">
          <cell r="A184" t="str">
            <v>Sensor de Flujo de 6"</v>
          </cell>
          <cell r="B184" t="str">
            <v>UN</v>
          </cell>
          <cell r="C184">
            <v>2759125</v>
          </cell>
        </row>
        <row r="185">
          <cell r="A185" t="str">
            <v>Sensor de Presión</v>
          </cell>
          <cell r="B185" t="str">
            <v>UN</v>
          </cell>
          <cell r="C185">
            <v>3948403</v>
          </cell>
        </row>
        <row r="186">
          <cell r="A186" t="str">
            <v>Sirena con Luz Estroboscópica</v>
          </cell>
          <cell r="B186" t="str">
            <v>UN</v>
          </cell>
          <cell r="C186">
            <v>198683</v>
          </cell>
        </row>
        <row r="187">
          <cell r="A187" t="str">
            <v>SOBRECIMIENTOS</v>
          </cell>
          <cell r="B187" t="str">
            <v>M3</v>
          </cell>
          <cell r="C187">
            <v>789395</v>
          </cell>
        </row>
        <row r="188">
          <cell r="A188" t="str">
            <v>SOPORTE DE TUBERIA TIPO</v>
          </cell>
          <cell r="B188" t="str">
            <v>UN</v>
          </cell>
          <cell r="C188">
            <v>1998</v>
          </cell>
        </row>
        <row r="189">
          <cell r="A189" t="str">
            <v>Strap 1 1/4" x 1/2"</v>
          </cell>
          <cell r="B189" t="str">
            <v>UN</v>
          </cell>
          <cell r="C189">
            <v>4757</v>
          </cell>
        </row>
        <row r="190">
          <cell r="A190" t="str">
            <v>Strap 1-1/2" x 1"</v>
          </cell>
          <cell r="B190" t="str">
            <v>UN</v>
          </cell>
          <cell r="C190">
            <v>4971</v>
          </cell>
        </row>
        <row r="191">
          <cell r="A191" t="str">
            <v>Strap 2 1/2" x 1"</v>
          </cell>
          <cell r="B191" t="str">
            <v>UN</v>
          </cell>
          <cell r="C191">
            <v>6861</v>
          </cell>
        </row>
        <row r="192">
          <cell r="A192" t="str">
            <v>Strap 2 1/2" x 1/2"</v>
          </cell>
          <cell r="B192" t="str">
            <v>UN</v>
          </cell>
          <cell r="C192">
            <v>6520</v>
          </cell>
        </row>
        <row r="193">
          <cell r="A193" t="str">
            <v>Strap 2" x 1 1/4"</v>
          </cell>
          <cell r="B193" t="str">
            <v>UN</v>
          </cell>
          <cell r="C193">
            <v>6292</v>
          </cell>
        </row>
        <row r="194">
          <cell r="A194" t="str">
            <v>Strap 2" x 1"</v>
          </cell>
          <cell r="B194" t="str">
            <v>UN</v>
          </cell>
          <cell r="C194">
            <v>4818</v>
          </cell>
        </row>
        <row r="195">
          <cell r="A195" t="str">
            <v>Strap 2" x 1/2"</v>
          </cell>
          <cell r="B195" t="str">
            <v>UN</v>
          </cell>
          <cell r="C195">
            <v>6416</v>
          </cell>
        </row>
        <row r="196">
          <cell r="A196" t="str">
            <v>SUB-ALIMENTADOR "BJ"</v>
          </cell>
          <cell r="B196" t="str">
            <v>MTS</v>
          </cell>
          <cell r="C196">
            <v>31606</v>
          </cell>
        </row>
        <row r="197">
          <cell r="A197" t="str">
            <v>SUB-ALIMENTADOR "BP"</v>
          </cell>
          <cell r="B197" t="str">
            <v>MTS</v>
          </cell>
          <cell r="C197">
            <v>31606</v>
          </cell>
        </row>
        <row r="198">
          <cell r="A198" t="str">
            <v>SUB-ALIMENTADOR "DACO"</v>
          </cell>
          <cell r="B198" t="str">
            <v>MTS</v>
          </cell>
          <cell r="C198">
            <v>55862</v>
          </cell>
        </row>
        <row r="199">
          <cell r="A199" t="str">
            <v>SUB-ALIMENTADOR "DADM"</v>
          </cell>
          <cell r="B199" t="str">
            <v>MTS</v>
          </cell>
          <cell r="C199">
            <v>55692</v>
          </cell>
        </row>
        <row r="200">
          <cell r="A200" t="str">
            <v>SUB-ALIMENTADOR "DAS"</v>
          </cell>
          <cell r="B200" t="str">
            <v>MTS</v>
          </cell>
          <cell r="C200">
            <v>55849</v>
          </cell>
        </row>
        <row r="201">
          <cell r="A201" t="str">
            <v>SUB-ALIMENTADOR "MO"</v>
          </cell>
          <cell r="B201" t="str">
            <v>MTS</v>
          </cell>
          <cell r="C201">
            <v>22798</v>
          </cell>
        </row>
        <row r="202">
          <cell r="A202" t="str">
            <v>SUB-ALIMENTADOR "OMS"</v>
          </cell>
          <cell r="B202" t="str">
            <v>MTS</v>
          </cell>
          <cell r="C202">
            <v>57779</v>
          </cell>
        </row>
        <row r="203">
          <cell r="A203" t="str">
            <v>SUB-ALIMENTADOR "SBI"</v>
          </cell>
          <cell r="B203" t="str">
            <v>MTS</v>
          </cell>
          <cell r="C203">
            <v>76921</v>
          </cell>
        </row>
        <row r="204">
          <cell r="A204" t="str">
            <v>Sub-end de 160mm</v>
          </cell>
          <cell r="B204" t="str">
            <v>UN</v>
          </cell>
          <cell r="C204">
            <v>42109</v>
          </cell>
        </row>
        <row r="205">
          <cell r="A205" t="str">
            <v>TABLERO TD COMP "DACO"</v>
          </cell>
          <cell r="B205" t="str">
            <v>UN</v>
          </cell>
          <cell r="C205">
            <v>2809605</v>
          </cell>
        </row>
        <row r="206">
          <cell r="A206" t="str">
            <v>TABLERO TD COMP "DADM"</v>
          </cell>
          <cell r="B206" t="str">
            <v>UN</v>
          </cell>
          <cell r="C206">
            <v>2842275</v>
          </cell>
        </row>
        <row r="207">
          <cell r="A207" t="str">
            <v>TABLERO TD COMP "DAS"</v>
          </cell>
          <cell r="B207" t="str">
            <v>UN</v>
          </cell>
          <cell r="C207">
            <v>2842275</v>
          </cell>
        </row>
        <row r="208">
          <cell r="A208" t="str">
            <v>TABLERO TD COMP "OMS"</v>
          </cell>
          <cell r="B208" t="str">
            <v>UN</v>
          </cell>
          <cell r="C208">
            <v>2842275</v>
          </cell>
        </row>
        <row r="209">
          <cell r="A209" t="str">
            <v>Tapón 1 1/4"</v>
          </cell>
          <cell r="B209" t="str">
            <v>UN</v>
          </cell>
          <cell r="C209">
            <v>2220</v>
          </cell>
        </row>
        <row r="210">
          <cell r="A210" t="str">
            <v>Tapón 2 1/2"</v>
          </cell>
          <cell r="B210" t="str">
            <v>UN</v>
          </cell>
          <cell r="C210">
            <v>3293</v>
          </cell>
        </row>
        <row r="211">
          <cell r="A211" t="str">
            <v>Tapón 2"</v>
          </cell>
          <cell r="B211" t="str">
            <v>UN</v>
          </cell>
          <cell r="C211">
            <v>2013</v>
          </cell>
        </row>
        <row r="212">
          <cell r="A212" t="str">
            <v>Tapón 2"</v>
          </cell>
          <cell r="B212" t="str">
            <v>UN</v>
          </cell>
          <cell r="C212">
            <v>2013</v>
          </cell>
        </row>
        <row r="213">
          <cell r="A213" t="str">
            <v>Tapón 3"</v>
          </cell>
          <cell r="B213" t="str">
            <v>UN</v>
          </cell>
          <cell r="C213">
            <v>8182</v>
          </cell>
        </row>
        <row r="214">
          <cell r="A214" t="str">
            <v>Tapón 6"</v>
          </cell>
          <cell r="B214" t="str">
            <v>UN</v>
          </cell>
          <cell r="C214">
            <v>112902</v>
          </cell>
        </row>
        <row r="215">
          <cell r="A215" t="str">
            <v>TDF "MO" (POR PROVEEDOR)</v>
          </cell>
          <cell r="B215" t="str">
            <v>UN</v>
          </cell>
          <cell r="C215">
            <v>1493733</v>
          </cell>
        </row>
        <row r="216">
          <cell r="A216" t="str">
            <v>TDFC "BJ" (PROVEEDOR)</v>
          </cell>
          <cell r="B216" t="str">
            <v>UN</v>
          </cell>
          <cell r="C216">
            <v>1236849</v>
          </cell>
        </row>
        <row r="217">
          <cell r="A217" t="str">
            <v>TDFC "BP" (PROVEEDOR)</v>
          </cell>
          <cell r="B217" t="str">
            <v>UN</v>
          </cell>
          <cell r="C217">
            <v>1623127</v>
          </cell>
        </row>
        <row r="218">
          <cell r="A218" t="str">
            <v>TDFC "SBI"</v>
          </cell>
          <cell r="B218" t="str">
            <v>UN</v>
          </cell>
          <cell r="C218">
            <v>2626381</v>
          </cell>
        </row>
        <row r="219">
          <cell r="A219" t="str">
            <v>Tee de 1"</v>
          </cell>
          <cell r="B219" t="str">
            <v>UN</v>
          </cell>
          <cell r="C219">
            <v>2866</v>
          </cell>
        </row>
        <row r="220">
          <cell r="A220" t="str">
            <v>Tee de 1-1/2"</v>
          </cell>
          <cell r="B220" t="str">
            <v>UN</v>
          </cell>
          <cell r="C220">
            <v>7136</v>
          </cell>
        </row>
        <row r="221">
          <cell r="A221" t="str">
            <v>Tee de 1-1/4"</v>
          </cell>
          <cell r="B221" t="str">
            <v>UN</v>
          </cell>
          <cell r="C221">
            <v>6279</v>
          </cell>
        </row>
        <row r="222">
          <cell r="A222" t="str">
            <v>Tee de 2 1/2"</v>
          </cell>
          <cell r="B222" t="str">
            <v>UN</v>
          </cell>
          <cell r="C222">
            <v>10856</v>
          </cell>
        </row>
        <row r="223">
          <cell r="A223" t="str">
            <v>Tee de 2 1/2"</v>
          </cell>
          <cell r="B223" t="str">
            <v>UN</v>
          </cell>
          <cell r="C223">
            <v>10856</v>
          </cell>
        </row>
        <row r="224">
          <cell r="A224" t="str">
            <v>Tee de 2"</v>
          </cell>
          <cell r="B224" t="str">
            <v>UN</v>
          </cell>
          <cell r="C224">
            <v>8172</v>
          </cell>
        </row>
        <row r="225">
          <cell r="A225" t="str">
            <v>Tee de 2"</v>
          </cell>
          <cell r="B225" t="str">
            <v>UN</v>
          </cell>
          <cell r="C225">
            <v>19050</v>
          </cell>
        </row>
        <row r="226">
          <cell r="A226" t="str">
            <v>Tee de 3"</v>
          </cell>
          <cell r="B226" t="str">
            <v>UN</v>
          </cell>
          <cell r="C226">
            <v>15461</v>
          </cell>
        </row>
        <row r="227">
          <cell r="A227" t="str">
            <v>Tee de 3"</v>
          </cell>
          <cell r="B227" t="str">
            <v>UN</v>
          </cell>
          <cell r="C227">
            <v>15461</v>
          </cell>
        </row>
        <row r="228">
          <cell r="A228" t="str">
            <v>Tee HDPE PN16 de 160x160x160mm</v>
          </cell>
          <cell r="B228" t="str">
            <v>UN</v>
          </cell>
          <cell r="C228">
            <v>155007</v>
          </cell>
        </row>
        <row r="229">
          <cell r="A229" t="str">
            <v>Tee Mecánica 2 1/2" x 1"</v>
          </cell>
          <cell r="B229" t="str">
            <v>UN</v>
          </cell>
          <cell r="C229">
            <v>12844</v>
          </cell>
        </row>
        <row r="230">
          <cell r="A230" t="str">
            <v>Tee Mecánica 2 1/2" x 2"</v>
          </cell>
          <cell r="B230" t="str">
            <v>UN</v>
          </cell>
          <cell r="C230">
            <v>13288</v>
          </cell>
        </row>
        <row r="231">
          <cell r="A231" t="str">
            <v>Tee Mecánica 3" x 1"</v>
          </cell>
          <cell r="B231" t="str">
            <v>UN</v>
          </cell>
          <cell r="C231">
            <v>15613</v>
          </cell>
        </row>
        <row r="232">
          <cell r="A232" t="str">
            <v>Tee Mecánica 3" x 1-1/2"</v>
          </cell>
          <cell r="B232" t="str">
            <v>UN</v>
          </cell>
          <cell r="C232">
            <v>14525</v>
          </cell>
        </row>
        <row r="233">
          <cell r="A233" t="str">
            <v>Tee Mecánica 3" x 1-1/4"</v>
          </cell>
          <cell r="B233" t="str">
            <v>UN</v>
          </cell>
          <cell r="C233">
            <v>15613</v>
          </cell>
        </row>
        <row r="234">
          <cell r="A234" t="str">
            <v>Tee Mecánica 3" x 2"</v>
          </cell>
          <cell r="B234" t="str">
            <v>UN</v>
          </cell>
          <cell r="C234">
            <v>13631</v>
          </cell>
        </row>
        <row r="235">
          <cell r="A235" t="str">
            <v>Tee Mecánica 6" x 2-1/2"</v>
          </cell>
          <cell r="B235" t="str">
            <v>UN</v>
          </cell>
          <cell r="C235">
            <v>130054</v>
          </cell>
        </row>
        <row r="236">
          <cell r="A236" t="str">
            <v>Tee Mecánica 6" x 3"</v>
          </cell>
          <cell r="B236" t="str">
            <v>UN</v>
          </cell>
          <cell r="C236">
            <v>138217</v>
          </cell>
        </row>
        <row r="237">
          <cell r="A237" t="str">
            <v>Tee Mecánica 6" x 4"</v>
          </cell>
          <cell r="B237" t="str">
            <v>UN</v>
          </cell>
          <cell r="C237">
            <v>139784</v>
          </cell>
        </row>
        <row r="238">
          <cell r="A238" t="str">
            <v>Tee ReducciÃ³n 6" x 6" x 4"</v>
          </cell>
          <cell r="B238" t="str">
            <v>UN</v>
          </cell>
          <cell r="C238">
            <v>41047</v>
          </cell>
        </row>
        <row r="239">
          <cell r="A239" t="str">
            <v>Tee roscada 2 Pulg</v>
          </cell>
          <cell r="B239" t="str">
            <v>UN</v>
          </cell>
          <cell r="C239">
            <v>27208</v>
          </cell>
        </row>
        <row r="240">
          <cell r="A240" t="str">
            <v>Tee roscada 6 Pulg</v>
          </cell>
          <cell r="B240" t="str">
            <v>UN</v>
          </cell>
          <cell r="C240">
            <v>135771</v>
          </cell>
        </row>
        <row r="241">
          <cell r="A241" t="str">
            <v>Trasados y niveles</v>
          </cell>
          <cell r="B241" t="str">
            <v>MTS</v>
          </cell>
          <cell r="C241">
            <v>24261</v>
          </cell>
        </row>
        <row r="242">
          <cell r="A242" t="str">
            <v>Unión Flexible de 2 1/2 Pulg</v>
          </cell>
          <cell r="B242" t="str">
            <v>UN</v>
          </cell>
          <cell r="C242">
            <v>6312</v>
          </cell>
        </row>
        <row r="243">
          <cell r="A243" t="str">
            <v>Unión Flexible de 2 1/2 Pulg</v>
          </cell>
          <cell r="B243" t="str">
            <v>UN</v>
          </cell>
          <cell r="C243">
            <v>6312</v>
          </cell>
        </row>
        <row r="244">
          <cell r="A244" t="str">
            <v>Unión Flexible de 2 Pulg</v>
          </cell>
          <cell r="B244" t="str">
            <v>UN</v>
          </cell>
          <cell r="C244">
            <v>10634</v>
          </cell>
        </row>
        <row r="245">
          <cell r="A245" t="str">
            <v>Unión Flexible de 2-1/2 Pulg</v>
          </cell>
          <cell r="B245" t="str">
            <v>UN</v>
          </cell>
          <cell r="C245">
            <v>6312</v>
          </cell>
        </row>
        <row r="246">
          <cell r="A246" t="str">
            <v>Unión Flexible de 3 Pulg</v>
          </cell>
          <cell r="B246" t="str">
            <v>UN</v>
          </cell>
          <cell r="C246">
            <v>6709</v>
          </cell>
        </row>
        <row r="247">
          <cell r="A247" t="str">
            <v>Unión Flexible de 3 Pulg</v>
          </cell>
          <cell r="B247" t="str">
            <v>UN</v>
          </cell>
          <cell r="C247">
            <v>6709</v>
          </cell>
        </row>
        <row r="248">
          <cell r="A248" t="str">
            <v>Unión Flexible de 3 Pulg</v>
          </cell>
          <cell r="B248" t="str">
            <v>UN</v>
          </cell>
          <cell r="C248">
            <v>6709</v>
          </cell>
        </row>
        <row r="249">
          <cell r="A249" t="str">
            <v>Unión Flexible de 4 Pulg</v>
          </cell>
          <cell r="B249" t="str">
            <v>UN</v>
          </cell>
          <cell r="C249">
            <v>12625</v>
          </cell>
        </row>
        <row r="250">
          <cell r="A250" t="str">
            <v>Unión Flexible de 4 Pulg</v>
          </cell>
          <cell r="B250" t="str">
            <v>UN</v>
          </cell>
          <cell r="C250">
            <v>12625</v>
          </cell>
        </row>
        <row r="251">
          <cell r="A251" t="str">
            <v>Unión Flexible de 6 Pulg</v>
          </cell>
          <cell r="B251" t="str">
            <v>UN</v>
          </cell>
          <cell r="C251">
            <v>22871</v>
          </cell>
        </row>
        <row r="252">
          <cell r="A252" t="str">
            <v>Unión Flexible de 6 Pulg</v>
          </cell>
          <cell r="B252" t="str">
            <v>UN</v>
          </cell>
          <cell r="C252">
            <v>22871</v>
          </cell>
        </row>
        <row r="253">
          <cell r="A253" t="str">
            <v>Unión Rígida de 2 1/2 Pulg</v>
          </cell>
          <cell r="B253" t="str">
            <v>UN</v>
          </cell>
          <cell r="C253">
            <v>6892</v>
          </cell>
        </row>
        <row r="254">
          <cell r="A254" t="str">
            <v>Unión Rígida de 2 1/2 Pulg</v>
          </cell>
          <cell r="B254" t="str">
            <v>UN</v>
          </cell>
          <cell r="C254">
            <v>6892</v>
          </cell>
        </row>
        <row r="255">
          <cell r="A255" t="str">
            <v>Unión Rígida de 2 Pulg</v>
          </cell>
          <cell r="B255" t="str">
            <v>UN</v>
          </cell>
          <cell r="C255">
            <v>10634</v>
          </cell>
        </row>
        <row r="256">
          <cell r="A256" t="str">
            <v>Unión Rígida de 2-1/2 Pulg</v>
          </cell>
          <cell r="B256" t="str">
            <v>UN</v>
          </cell>
          <cell r="C256">
            <v>6892</v>
          </cell>
        </row>
        <row r="257">
          <cell r="A257" t="str">
            <v>Unión Rígida de 3 Pulg</v>
          </cell>
          <cell r="B257" t="str">
            <v>UN</v>
          </cell>
          <cell r="C257">
            <v>7959</v>
          </cell>
        </row>
        <row r="258">
          <cell r="A258" t="str">
            <v>Unión Rígida de 3 Pulg</v>
          </cell>
          <cell r="B258" t="str">
            <v>UN</v>
          </cell>
          <cell r="C258">
            <v>7959</v>
          </cell>
        </row>
        <row r="259">
          <cell r="A259" t="str">
            <v>Unión Rígida de 3 Pulg</v>
          </cell>
          <cell r="B259" t="str">
            <v>UN</v>
          </cell>
          <cell r="C259">
            <v>7959</v>
          </cell>
        </row>
        <row r="260">
          <cell r="A260" t="str">
            <v>Unión Rígida de 4 Pulg</v>
          </cell>
          <cell r="B260" t="str">
            <v>UN</v>
          </cell>
          <cell r="C260">
            <v>12625</v>
          </cell>
        </row>
        <row r="261">
          <cell r="A261" t="str">
            <v>Unión Rígida de 6 Pulg</v>
          </cell>
          <cell r="B261" t="str">
            <v>UN</v>
          </cell>
          <cell r="C261">
            <v>22871</v>
          </cell>
        </row>
        <row r="262">
          <cell r="A262" t="str">
            <v>Válvula Check DV-5 2-1/2"</v>
          </cell>
          <cell r="B262" t="str">
            <v>UN</v>
          </cell>
          <cell r="C262">
            <v>211596</v>
          </cell>
        </row>
        <row r="263">
          <cell r="A263" t="str">
            <v>Válvula Check Riser 2-1/2"</v>
          </cell>
          <cell r="B263" t="str">
            <v>UN</v>
          </cell>
          <cell r="C263">
            <v>1132015</v>
          </cell>
        </row>
        <row r="264">
          <cell r="A264" t="str">
            <v>Válvula Check Riser 4"</v>
          </cell>
          <cell r="B264" t="str">
            <v>UN</v>
          </cell>
          <cell r="C264">
            <v>1491047</v>
          </cell>
        </row>
        <row r="265">
          <cell r="A265" t="str">
            <v>Válvula Check roscada de 6"</v>
          </cell>
          <cell r="B265" t="str">
            <v>UN</v>
          </cell>
          <cell r="C265">
            <v>1851793</v>
          </cell>
        </row>
        <row r="266">
          <cell r="A266" t="str">
            <v>Válvula Click de 2"</v>
          </cell>
          <cell r="B266" t="str">
            <v>UN</v>
          </cell>
          <cell r="C266">
            <v>475711</v>
          </cell>
        </row>
        <row r="267">
          <cell r="A267" t="str">
            <v>Válvula de Alarma 2-1/2"</v>
          </cell>
          <cell r="B267" t="str">
            <v>UN</v>
          </cell>
          <cell r="C267">
            <v>688034</v>
          </cell>
        </row>
        <row r="268">
          <cell r="A268" t="str">
            <v>Válvula de Alarma 3"</v>
          </cell>
          <cell r="B268" t="str">
            <v>UN</v>
          </cell>
          <cell r="C268">
            <v>379247</v>
          </cell>
        </row>
        <row r="269">
          <cell r="A269" t="str">
            <v>Válvula de Alivio 4" x 4"</v>
          </cell>
          <cell r="B269" t="str">
            <v>UN</v>
          </cell>
          <cell r="C269">
            <v>634282</v>
          </cell>
        </row>
        <row r="270">
          <cell r="A270" t="str">
            <v>Válvula de Angulo 2 1/2" cubierta y tapa storz 2" toma de bomberos carretes</v>
          </cell>
          <cell r="B270" t="str">
            <v>UN</v>
          </cell>
          <cell r="C270">
            <v>308156</v>
          </cell>
        </row>
        <row r="271">
          <cell r="A271" t="str">
            <v>Válvula de Angulo de 1" Reductora de Presión</v>
          </cell>
          <cell r="B271" t="str">
            <v>UN</v>
          </cell>
          <cell r="C271">
            <v>471687</v>
          </cell>
        </row>
        <row r="272">
          <cell r="A272" t="str">
            <v>Válvula de Bola 1" (drenaje)</v>
          </cell>
          <cell r="B272" t="str">
            <v>UN</v>
          </cell>
          <cell r="C272">
            <v>29884</v>
          </cell>
        </row>
        <row r="273">
          <cell r="A273" t="str">
            <v>Válvula de Compuerta de 2"</v>
          </cell>
          <cell r="B273" t="str">
            <v>UN</v>
          </cell>
          <cell r="C273">
            <v>614895</v>
          </cell>
        </row>
        <row r="274">
          <cell r="A274" t="str">
            <v>Válvula de Compuerta Tipo OS&amp;Y Flangeada de 6"</v>
          </cell>
          <cell r="B274" t="str">
            <v>UN</v>
          </cell>
          <cell r="C274">
            <v>1200543</v>
          </cell>
        </row>
        <row r="275">
          <cell r="A275" t="str">
            <v>Válvula de Mariposa 2-1/2"</v>
          </cell>
          <cell r="B275" t="str">
            <v>UN</v>
          </cell>
          <cell r="C275">
            <v>332998</v>
          </cell>
        </row>
        <row r="276">
          <cell r="A276" t="str">
            <v>Válvula de Mariposa 3"</v>
          </cell>
          <cell r="B276" t="str">
            <v>UN</v>
          </cell>
          <cell r="C276">
            <v>358369</v>
          </cell>
        </row>
        <row r="277">
          <cell r="A277" t="str">
            <v>Válvula de Mariposa 4"</v>
          </cell>
          <cell r="B277" t="str">
            <v>UN</v>
          </cell>
          <cell r="C277">
            <v>362913</v>
          </cell>
        </row>
        <row r="278">
          <cell r="A278" t="str">
            <v>Válvula de Mariposa de 2"</v>
          </cell>
          <cell r="B278" t="str">
            <v>UN</v>
          </cell>
          <cell r="C278">
            <v>223584</v>
          </cell>
        </row>
        <row r="279">
          <cell r="A279" t="str">
            <v>Válvula de Mariposa de 6"</v>
          </cell>
          <cell r="B279" t="str">
            <v>UN</v>
          </cell>
          <cell r="C279">
            <v>597720</v>
          </cell>
        </row>
        <row r="280">
          <cell r="A280" t="str">
            <v>Válvula de Prueba y Drenaje 1 1/4"</v>
          </cell>
          <cell r="B280" t="str">
            <v>UN</v>
          </cell>
          <cell r="C280">
            <v>376954</v>
          </cell>
        </row>
        <row r="281">
          <cell r="A281" t="str">
            <v>Vigas</v>
          </cell>
          <cell r="B281" t="str">
            <v>KG</v>
          </cell>
          <cell r="C281">
            <v>6660</v>
          </cell>
        </row>
        <row r="282">
          <cell r="A282" t="str">
            <v>Vigas</v>
          </cell>
          <cell r="B282" t="str">
            <v>M3</v>
          </cell>
          <cell r="C282">
            <v>319678</v>
          </cell>
        </row>
        <row r="283">
          <cell r="A283" t="str">
            <v>Vigas</v>
          </cell>
          <cell r="B283" t="str">
            <v>M2</v>
          </cell>
          <cell r="C283">
            <v>58967</v>
          </cell>
        </row>
      </sheetData>
      <sheetData sheetId="1">
        <row r="1">
          <cell r="A1" t="str">
            <v>Aislador contra electrolisis</v>
          </cell>
          <cell r="B1" t="str">
            <v>GL</v>
          </cell>
          <cell r="C1">
            <v>984722</v>
          </cell>
        </row>
        <row r="2">
          <cell r="A2" t="str">
            <v>Amortiguadores de ruidos y vibraciones</v>
          </cell>
          <cell r="B2" t="str">
            <v>GL</v>
          </cell>
          <cell r="C2">
            <v>1079864</v>
          </cell>
        </row>
        <row r="3">
          <cell r="A3" t="str">
            <v>Bisagras y sistemas de suspensión de puertas</v>
          </cell>
          <cell r="B3" t="str">
            <v>GL</v>
          </cell>
          <cell r="C3">
            <v>238807</v>
          </cell>
        </row>
        <row r="4">
          <cell r="A4" t="str">
            <v>Cerradura y manillas</v>
          </cell>
          <cell r="B4" t="str">
            <v>GL</v>
          </cell>
          <cell r="C4">
            <v>1120776</v>
          </cell>
        </row>
        <row r="5">
          <cell r="A5" t="str">
            <v>Escaleras</v>
          </cell>
          <cell r="B5" t="str">
            <v>GL</v>
          </cell>
          <cell r="C5">
            <v>425286</v>
          </cell>
        </row>
        <row r="6">
          <cell r="A6" t="str">
            <v>Manillas y travesaños</v>
          </cell>
          <cell r="B6" t="str">
            <v>GL</v>
          </cell>
          <cell r="C6">
            <v>278006</v>
          </cell>
        </row>
        <row r="7">
          <cell r="A7" t="str">
            <v>OBRA CIVILES DE ESPECIALIDADES</v>
          </cell>
          <cell r="B7" t="str">
            <v>GL</v>
          </cell>
          <cell r="C7">
            <v>4757112</v>
          </cell>
        </row>
        <row r="8">
          <cell r="A8" t="str">
            <v>Paso de ductos en losas</v>
          </cell>
          <cell r="B8" t="str">
            <v>GL</v>
          </cell>
          <cell r="C8">
            <v>475711</v>
          </cell>
        </row>
        <row r="9">
          <cell r="A9" t="str">
            <v>Paso ductos en muros</v>
          </cell>
          <cell r="B9" t="str">
            <v>GL</v>
          </cell>
          <cell r="C9">
            <v>475711</v>
          </cell>
        </row>
        <row r="10">
          <cell r="A10" t="str">
            <v>Perfiles de seguridad contra combustibles</v>
          </cell>
          <cell r="B10" t="str">
            <v>GL</v>
          </cell>
          <cell r="C10">
            <v>1008414</v>
          </cell>
        </row>
        <row r="11">
          <cell r="A11" t="str">
            <v>Perfiles de seguridad contra Líquidos</v>
          </cell>
          <cell r="B11" t="str">
            <v>GL</v>
          </cell>
          <cell r="C11">
            <v>1008414</v>
          </cell>
        </row>
        <row r="12">
          <cell r="A12" t="str">
            <v>Reconocimiento del subsuelo</v>
          </cell>
          <cell r="B12" t="str">
            <v>GL</v>
          </cell>
          <cell r="C12">
            <v>11417069</v>
          </cell>
        </row>
        <row r="13">
          <cell r="A13" t="str">
            <v>Sellos cortafuego</v>
          </cell>
          <cell r="B13" t="str">
            <v>GL</v>
          </cell>
          <cell r="C13">
            <v>2091702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6E1F-E059-467B-AFB7-F0991005B9DE}">
  <dimension ref="A1:L392"/>
  <sheetViews>
    <sheetView tabSelected="1" zoomScaleNormal="100" zoomScaleSheetLayoutView="100" workbookViewId="0">
      <selection activeCell="E379" sqref="E379"/>
    </sheetView>
  </sheetViews>
  <sheetFormatPr baseColWidth="10" defaultColWidth="11" defaultRowHeight="15" x14ac:dyDescent="0.25"/>
  <cols>
    <col min="1" max="1" width="25.28515625" style="21" bestFit="1" customWidth="1"/>
    <col min="2" max="2" width="71.7109375" style="26" customWidth="1"/>
    <col min="3" max="3" width="11.5703125" style="21" customWidth="1"/>
    <col min="4" max="4" width="8.85546875" style="21" customWidth="1"/>
    <col min="5" max="6" width="14.7109375" style="22" customWidth="1"/>
    <col min="7" max="7" width="17.5703125" style="38" customWidth="1"/>
  </cols>
  <sheetData>
    <row r="1" spans="1:10" x14ac:dyDescent="0.25">
      <c r="A1" s="33" t="s">
        <v>712</v>
      </c>
    </row>
    <row r="2" spans="1:10" x14ac:dyDescent="0.25">
      <c r="A2" s="35" t="s">
        <v>0</v>
      </c>
      <c r="B2" s="35"/>
      <c r="C2" s="35"/>
      <c r="D2" s="35"/>
      <c r="E2" s="35"/>
      <c r="F2" s="35"/>
    </row>
    <row r="3" spans="1:10" x14ac:dyDescent="0.25">
      <c r="A3" s="36" t="s">
        <v>710</v>
      </c>
      <c r="B3" s="36"/>
      <c r="C3" s="36"/>
      <c r="D3" s="36"/>
      <c r="E3" s="36"/>
      <c r="F3" s="36"/>
    </row>
    <row r="5" spans="1:10" ht="15.75" thickBot="1" x14ac:dyDescent="0.3"/>
    <row r="6" spans="1:10" ht="15.75" thickBot="1" x14ac:dyDescent="0.3">
      <c r="A6" s="1" t="s">
        <v>1</v>
      </c>
      <c r="B6" s="2" t="s">
        <v>2</v>
      </c>
      <c r="C6" s="2" t="s">
        <v>3</v>
      </c>
      <c r="D6" s="2" t="s">
        <v>4</v>
      </c>
      <c r="E6" s="3" t="s">
        <v>5</v>
      </c>
      <c r="F6" s="28" t="s">
        <v>6</v>
      </c>
      <c r="G6" s="32" t="s">
        <v>711</v>
      </c>
    </row>
    <row r="7" spans="1:10" x14ac:dyDescent="0.25">
      <c r="A7" s="4">
        <v>1</v>
      </c>
      <c r="B7" s="5" t="s">
        <v>7</v>
      </c>
      <c r="C7" s="6"/>
      <c r="D7" s="6"/>
      <c r="E7" s="7"/>
      <c r="F7" s="29"/>
      <c r="G7" s="37" t="s">
        <v>713</v>
      </c>
    </row>
    <row r="8" spans="1:10" x14ac:dyDescent="0.25">
      <c r="A8" s="8" t="s">
        <v>8</v>
      </c>
      <c r="B8" s="9" t="s">
        <v>9</v>
      </c>
      <c r="C8" s="10" t="s">
        <v>10</v>
      </c>
      <c r="D8" s="10">
        <v>1</v>
      </c>
      <c r="E8" s="11">
        <v>9600000</v>
      </c>
      <c r="F8" s="30">
        <f t="shared" ref="F8:F11" si="0">D8*E8</f>
        <v>9600000</v>
      </c>
      <c r="G8" s="37"/>
    </row>
    <row r="9" spans="1:10" x14ac:dyDescent="0.25">
      <c r="A9" s="8" t="s">
        <v>11</v>
      </c>
      <c r="B9" s="9" t="s">
        <v>12</v>
      </c>
      <c r="C9" s="10" t="s">
        <v>10</v>
      </c>
      <c r="D9" s="10">
        <v>1</v>
      </c>
      <c r="E9" s="11">
        <v>4160000</v>
      </c>
      <c r="F9" s="30">
        <f t="shared" si="0"/>
        <v>4160000</v>
      </c>
      <c r="G9" s="37"/>
    </row>
    <row r="10" spans="1:10" x14ac:dyDescent="0.25">
      <c r="A10" s="12">
        <v>2</v>
      </c>
      <c r="B10" s="13" t="s">
        <v>13</v>
      </c>
      <c r="C10" s="10"/>
      <c r="D10" s="10"/>
      <c r="E10" s="11"/>
      <c r="F10" s="30">
        <f t="shared" si="0"/>
        <v>0</v>
      </c>
      <c r="G10" s="37" t="s">
        <v>713</v>
      </c>
    </row>
    <row r="11" spans="1:10" x14ac:dyDescent="0.25">
      <c r="A11" s="12" t="s">
        <v>14</v>
      </c>
      <c r="B11" s="13" t="s">
        <v>15</v>
      </c>
      <c r="C11" s="10"/>
      <c r="D11" s="10"/>
      <c r="E11" s="11"/>
      <c r="F11" s="30">
        <f t="shared" si="0"/>
        <v>0</v>
      </c>
      <c r="G11" s="37" t="s">
        <v>713</v>
      </c>
    </row>
    <row r="12" spans="1:10" x14ac:dyDescent="0.25">
      <c r="A12" s="8" t="s">
        <v>16</v>
      </c>
      <c r="B12" s="9" t="s">
        <v>17</v>
      </c>
      <c r="C12" s="10" t="s">
        <v>18</v>
      </c>
      <c r="D12" s="10">
        <v>76</v>
      </c>
      <c r="E12" s="11">
        <v>18175</v>
      </c>
      <c r="F12" s="30">
        <f>D12*E12</f>
        <v>1381300</v>
      </c>
      <c r="G12" s="37"/>
      <c r="J12" s="14"/>
    </row>
    <row r="13" spans="1:10" x14ac:dyDescent="0.25">
      <c r="A13" s="8" t="s">
        <v>19</v>
      </c>
      <c r="B13" s="9" t="s">
        <v>20</v>
      </c>
      <c r="C13" s="10" t="s">
        <v>18</v>
      </c>
      <c r="D13" s="10">
        <v>348</v>
      </c>
      <c r="E13" s="11">
        <v>13692</v>
      </c>
      <c r="F13" s="30">
        <f t="shared" ref="F13:F76" si="1">D13*E13</f>
        <v>4764816</v>
      </c>
      <c r="G13" s="37"/>
    </row>
    <row r="14" spans="1:10" x14ac:dyDescent="0.25">
      <c r="A14" s="8" t="s">
        <v>21</v>
      </c>
      <c r="B14" s="9" t="s">
        <v>22</v>
      </c>
      <c r="C14" s="10" t="s">
        <v>18</v>
      </c>
      <c r="D14" s="10">
        <v>12</v>
      </c>
      <c r="E14" s="11">
        <f>VLOOKUP(B14, [1]PRECIOS_MATERIALES!$A:$C, 3, FALSE)</f>
        <v>63672</v>
      </c>
      <c r="F14" s="30">
        <f t="shared" si="1"/>
        <v>764064</v>
      </c>
      <c r="G14" s="37"/>
    </row>
    <row r="15" spans="1:10" x14ac:dyDescent="0.25">
      <c r="A15" s="8" t="s">
        <v>23</v>
      </c>
      <c r="B15" s="9" t="s">
        <v>24</v>
      </c>
      <c r="C15" s="10" t="s">
        <v>18</v>
      </c>
      <c r="D15" s="10">
        <v>356</v>
      </c>
      <c r="E15" s="11">
        <f>VLOOKUP(B15, [1]PRECIOS_MATERIALES!$A:$C, 3, FALSE)</f>
        <v>90477</v>
      </c>
      <c r="F15" s="30">
        <f t="shared" si="1"/>
        <v>32209812</v>
      </c>
      <c r="G15" s="37"/>
    </row>
    <row r="16" spans="1:10" x14ac:dyDescent="0.25">
      <c r="A16" s="8" t="s">
        <v>25</v>
      </c>
      <c r="B16" s="9" t="s">
        <v>26</v>
      </c>
      <c r="C16" s="10" t="s">
        <v>18</v>
      </c>
      <c r="D16" s="10">
        <v>1</v>
      </c>
      <c r="E16" s="11">
        <f>VLOOKUP(B16, [1]PRECIOS_MATERIALES!$A:$C, 3, FALSE)</f>
        <v>110999</v>
      </c>
      <c r="F16" s="30">
        <f t="shared" si="1"/>
        <v>110999</v>
      </c>
      <c r="G16" s="37"/>
    </row>
    <row r="17" spans="1:7" x14ac:dyDescent="0.25">
      <c r="A17" s="8" t="s">
        <v>27</v>
      </c>
      <c r="B17" s="9" t="s">
        <v>28</v>
      </c>
      <c r="C17" s="10" t="s">
        <v>18</v>
      </c>
      <c r="D17" s="10">
        <v>4</v>
      </c>
      <c r="E17" s="11">
        <f>VLOOKUP(B17, [1]PRECIOS_MATERIALES!$A:$C, 3, FALSE)</f>
        <v>173793</v>
      </c>
      <c r="F17" s="30">
        <f t="shared" si="1"/>
        <v>695172</v>
      </c>
      <c r="G17" s="37"/>
    </row>
    <row r="18" spans="1:7" x14ac:dyDescent="0.25">
      <c r="A18" s="12" t="s">
        <v>29</v>
      </c>
      <c r="B18" s="13" t="s">
        <v>30</v>
      </c>
      <c r="C18" s="10"/>
      <c r="D18" s="10"/>
      <c r="E18" s="11"/>
      <c r="F18" s="30">
        <f t="shared" si="1"/>
        <v>0</v>
      </c>
      <c r="G18" s="37" t="s">
        <v>713</v>
      </c>
    </row>
    <row r="19" spans="1:7" x14ac:dyDescent="0.25">
      <c r="A19" s="8" t="s">
        <v>31</v>
      </c>
      <c r="B19" s="9" t="s">
        <v>32</v>
      </c>
      <c r="C19" s="10" t="s">
        <v>33</v>
      </c>
      <c r="D19" s="10">
        <v>171.74700000000001</v>
      </c>
      <c r="E19" s="11">
        <f>VLOOKUP(B19, [1]PRECIOS_MATERIALES!$A:$C, 3, FALSE)</f>
        <v>37777</v>
      </c>
      <c r="F19" s="30">
        <f t="shared" si="1"/>
        <v>6488086.4190000007</v>
      </c>
      <c r="G19" s="37"/>
    </row>
    <row r="20" spans="1:7" x14ac:dyDescent="0.25">
      <c r="A20" s="8" t="s">
        <v>34</v>
      </c>
      <c r="B20" s="9" t="s">
        <v>35</v>
      </c>
      <c r="C20" s="10" t="s">
        <v>33</v>
      </c>
      <c r="D20" s="10">
        <v>263.41300000000001</v>
      </c>
      <c r="E20" s="11">
        <f>VLOOKUP(B20, [1]PRECIOS_MATERIALES!$A:$C, 3, FALSE)</f>
        <v>28451</v>
      </c>
      <c r="F20" s="30">
        <f t="shared" si="1"/>
        <v>7494363.2630000003</v>
      </c>
      <c r="G20" s="37"/>
    </row>
    <row r="21" spans="1:7" x14ac:dyDescent="0.25">
      <c r="A21" s="8" t="s">
        <v>36</v>
      </c>
      <c r="B21" s="9" t="s">
        <v>37</v>
      </c>
      <c r="C21" s="10" t="s">
        <v>33</v>
      </c>
      <c r="D21" s="10">
        <v>1093.528</v>
      </c>
      <c r="E21" s="11">
        <f>VLOOKUP(B21, [1]PRECIOS_MATERIALES!$A:$C, 3, FALSE)</f>
        <v>17092</v>
      </c>
      <c r="F21" s="30">
        <f t="shared" si="1"/>
        <v>18690580.576000001</v>
      </c>
      <c r="G21" s="37"/>
    </row>
    <row r="22" spans="1:7" x14ac:dyDescent="0.25">
      <c r="A22" s="8" t="s">
        <v>38</v>
      </c>
      <c r="B22" s="9" t="s">
        <v>39</v>
      </c>
      <c r="C22" s="10" t="s">
        <v>33</v>
      </c>
      <c r="D22" s="10">
        <v>117.398</v>
      </c>
      <c r="E22" s="11">
        <f>VLOOKUP(B22, [1]PRECIOS_MATERIALES!$A:$C, 3, FALSE)</f>
        <v>13392</v>
      </c>
      <c r="F22" s="30">
        <f t="shared" si="1"/>
        <v>1572194.0160000001</v>
      </c>
      <c r="G22" s="37"/>
    </row>
    <row r="23" spans="1:7" x14ac:dyDescent="0.25">
      <c r="A23" s="8" t="s">
        <v>40</v>
      </c>
      <c r="B23" s="9" t="s">
        <v>41</v>
      </c>
      <c r="C23" s="10" t="s">
        <v>33</v>
      </c>
      <c r="D23" s="10">
        <v>49.476999999999997</v>
      </c>
      <c r="E23" s="11">
        <f>VLOOKUP(B23, [1]PRECIOS_MATERIALES!$A:$C, 3, FALSE)</f>
        <v>4608</v>
      </c>
      <c r="F23" s="30">
        <f t="shared" si="1"/>
        <v>227990.01599999997</v>
      </c>
      <c r="G23" s="37"/>
    </row>
    <row r="24" spans="1:7" x14ac:dyDescent="0.25">
      <c r="A24" s="8" t="s">
        <v>42</v>
      </c>
      <c r="B24" s="9" t="s">
        <v>43</v>
      </c>
      <c r="C24" s="10" t="s">
        <v>33</v>
      </c>
      <c r="D24" s="10">
        <v>779.08199999999999</v>
      </c>
      <c r="E24" s="11">
        <f>VLOOKUP(B24, [1]PRECIOS_MATERIALES!$A:$C, 3, FALSE)</f>
        <v>8015</v>
      </c>
      <c r="F24" s="30">
        <f t="shared" si="1"/>
        <v>6244342.2299999995</v>
      </c>
      <c r="G24" s="37"/>
    </row>
    <row r="25" spans="1:7" x14ac:dyDescent="0.25">
      <c r="A25" s="8" t="s">
        <v>44</v>
      </c>
      <c r="B25" s="9" t="s">
        <v>45</v>
      </c>
      <c r="C25" s="10" t="s">
        <v>18</v>
      </c>
      <c r="D25" s="10">
        <v>7</v>
      </c>
      <c r="E25" s="11">
        <f>VLOOKUP(B25, [1]PRECIOS_MATERIALES!$A:$C, 3, FALSE)</f>
        <v>15461</v>
      </c>
      <c r="F25" s="30">
        <f t="shared" si="1"/>
        <v>108227</v>
      </c>
      <c r="G25" s="37"/>
    </row>
    <row r="26" spans="1:7" x14ac:dyDescent="0.25">
      <c r="A26" s="8" t="s">
        <v>46</v>
      </c>
      <c r="B26" s="9" t="s">
        <v>47</v>
      </c>
      <c r="C26" s="10" t="s">
        <v>18</v>
      </c>
      <c r="D26" s="10">
        <v>3</v>
      </c>
      <c r="E26" s="11">
        <f>VLOOKUP(B26, [1]PRECIOS_MATERIALES!$A:$C, 3, FALSE)</f>
        <v>10856</v>
      </c>
      <c r="F26" s="30">
        <f t="shared" si="1"/>
        <v>32568</v>
      </c>
      <c r="G26" s="37"/>
    </row>
    <row r="27" spans="1:7" x14ac:dyDescent="0.25">
      <c r="A27" s="8" t="s">
        <v>48</v>
      </c>
      <c r="B27" s="9" t="s">
        <v>49</v>
      </c>
      <c r="C27" s="10" t="s">
        <v>18</v>
      </c>
      <c r="D27" s="10">
        <v>10</v>
      </c>
      <c r="E27" s="11">
        <f>VLOOKUP(B27, [1]PRECIOS_MATERIALES!$A:$C, 3, FALSE)</f>
        <v>8172</v>
      </c>
      <c r="F27" s="30">
        <f t="shared" si="1"/>
        <v>81720</v>
      </c>
      <c r="G27" s="37"/>
    </row>
    <row r="28" spans="1:7" x14ac:dyDescent="0.25">
      <c r="A28" s="8" t="s">
        <v>50</v>
      </c>
      <c r="B28" s="9" t="s">
        <v>51</v>
      </c>
      <c r="C28" s="10" t="s">
        <v>18</v>
      </c>
      <c r="D28" s="10">
        <v>23</v>
      </c>
      <c r="E28" s="11">
        <f>VLOOKUP(B28, [1]PRECIOS_MATERIALES!$A:$C, 3, FALSE)</f>
        <v>7136</v>
      </c>
      <c r="F28" s="30">
        <f t="shared" si="1"/>
        <v>164128</v>
      </c>
      <c r="G28" s="37"/>
    </row>
    <row r="29" spans="1:7" x14ac:dyDescent="0.25">
      <c r="A29" s="8" t="s">
        <v>52</v>
      </c>
      <c r="B29" s="9" t="s">
        <v>53</v>
      </c>
      <c r="C29" s="10" t="s">
        <v>18</v>
      </c>
      <c r="D29" s="10">
        <v>6</v>
      </c>
      <c r="E29" s="11">
        <f>VLOOKUP(B29, [1]PRECIOS_MATERIALES!$A:$C, 3, FALSE)</f>
        <v>6279</v>
      </c>
      <c r="F29" s="30">
        <f t="shared" si="1"/>
        <v>37674</v>
      </c>
      <c r="G29" s="37"/>
    </row>
    <row r="30" spans="1:7" x14ac:dyDescent="0.25">
      <c r="A30" s="8" t="s">
        <v>54</v>
      </c>
      <c r="B30" s="9" t="s">
        <v>55</v>
      </c>
      <c r="C30" s="10" t="s">
        <v>18</v>
      </c>
      <c r="D30" s="10">
        <v>108</v>
      </c>
      <c r="E30" s="11">
        <f>VLOOKUP(B30, [1]PRECIOS_MATERIALES!$A:$C, 3, FALSE)</f>
        <v>2866</v>
      </c>
      <c r="F30" s="30">
        <f t="shared" si="1"/>
        <v>309528</v>
      </c>
      <c r="G30" s="37"/>
    </row>
    <row r="31" spans="1:7" x14ac:dyDescent="0.25">
      <c r="A31" s="8" t="s">
        <v>56</v>
      </c>
      <c r="B31" s="9" t="s">
        <v>57</v>
      </c>
      <c r="C31" s="10" t="s">
        <v>18</v>
      </c>
      <c r="D31" s="10">
        <v>1</v>
      </c>
      <c r="E31" s="11">
        <f>VLOOKUP(B31, [1]PRECIOS_MATERIALES!$A:$C, 3, FALSE)</f>
        <v>13631</v>
      </c>
      <c r="F31" s="30">
        <f t="shared" si="1"/>
        <v>13631</v>
      </c>
      <c r="G31" s="37"/>
    </row>
    <row r="32" spans="1:7" x14ac:dyDescent="0.25">
      <c r="A32" s="8" t="s">
        <v>58</v>
      </c>
      <c r="B32" s="9" t="s">
        <v>59</v>
      </c>
      <c r="C32" s="10" t="s">
        <v>18</v>
      </c>
      <c r="D32" s="10">
        <v>1</v>
      </c>
      <c r="E32" s="11">
        <f>VLOOKUP(B32, [1]PRECIOS_MATERIALES!$A:$C, 3, FALSE)</f>
        <v>14525</v>
      </c>
      <c r="F32" s="30">
        <f t="shared" si="1"/>
        <v>14525</v>
      </c>
      <c r="G32" s="37"/>
    </row>
    <row r="33" spans="1:7" x14ac:dyDescent="0.25">
      <c r="A33" s="8" t="s">
        <v>60</v>
      </c>
      <c r="B33" s="9" t="s">
        <v>61</v>
      </c>
      <c r="C33" s="10" t="s">
        <v>18</v>
      </c>
      <c r="D33" s="10">
        <v>1</v>
      </c>
      <c r="E33" s="11">
        <f>VLOOKUP(B33, [1]PRECIOS_MATERIALES!$A:$C, 3, FALSE)</f>
        <v>15613</v>
      </c>
      <c r="F33" s="30">
        <f t="shared" si="1"/>
        <v>15613</v>
      </c>
      <c r="G33" s="37"/>
    </row>
    <row r="34" spans="1:7" x14ac:dyDescent="0.25">
      <c r="A34" s="8" t="s">
        <v>62</v>
      </c>
      <c r="B34" s="9" t="s">
        <v>63</v>
      </c>
      <c r="C34" s="10" t="s">
        <v>18</v>
      </c>
      <c r="D34" s="10">
        <v>16</v>
      </c>
      <c r="E34" s="11">
        <f>VLOOKUP(B34, [1]PRECIOS_MATERIALES!$A:$C, 3, FALSE)</f>
        <v>15613</v>
      </c>
      <c r="F34" s="30">
        <f t="shared" si="1"/>
        <v>249808</v>
      </c>
      <c r="G34" s="37"/>
    </row>
    <row r="35" spans="1:7" x14ac:dyDescent="0.25">
      <c r="A35" s="8" t="s">
        <v>64</v>
      </c>
      <c r="B35" s="9" t="s">
        <v>65</v>
      </c>
      <c r="C35" s="10" t="s">
        <v>18</v>
      </c>
      <c r="D35" s="10">
        <v>1</v>
      </c>
      <c r="E35" s="11">
        <f>VLOOKUP(B35, [1]PRECIOS_MATERIALES!$A:$C, 3, FALSE)</f>
        <v>13288</v>
      </c>
      <c r="F35" s="30">
        <f t="shared" si="1"/>
        <v>13288</v>
      </c>
      <c r="G35" s="37"/>
    </row>
    <row r="36" spans="1:7" x14ac:dyDescent="0.25">
      <c r="A36" s="8" t="s">
        <v>66</v>
      </c>
      <c r="B36" s="9" t="s">
        <v>67</v>
      </c>
      <c r="C36" s="10" t="s">
        <v>18</v>
      </c>
      <c r="D36" s="10">
        <v>86</v>
      </c>
      <c r="E36" s="11">
        <f>VLOOKUP(B36, [1]PRECIOS_MATERIALES!$A:$C, 3, FALSE)</f>
        <v>6861</v>
      </c>
      <c r="F36" s="30">
        <f t="shared" si="1"/>
        <v>590046</v>
      </c>
      <c r="G36" s="37"/>
    </row>
    <row r="37" spans="1:7" x14ac:dyDescent="0.25">
      <c r="A37" s="8" t="s">
        <v>68</v>
      </c>
      <c r="B37" s="9" t="s">
        <v>69</v>
      </c>
      <c r="C37" s="10" t="s">
        <v>18</v>
      </c>
      <c r="D37" s="10">
        <v>1</v>
      </c>
      <c r="E37" s="11">
        <f>VLOOKUP(B37, [1]PRECIOS_MATERIALES!$A:$C, 3, FALSE)</f>
        <v>6520</v>
      </c>
      <c r="F37" s="30">
        <f t="shared" si="1"/>
        <v>6520</v>
      </c>
      <c r="G37" s="37"/>
    </row>
    <row r="38" spans="1:7" x14ac:dyDescent="0.25">
      <c r="A38" s="8" t="s">
        <v>70</v>
      </c>
      <c r="B38" s="9" t="s">
        <v>71</v>
      </c>
      <c r="C38" s="10" t="s">
        <v>18</v>
      </c>
      <c r="D38" s="10">
        <v>331</v>
      </c>
      <c r="E38" s="11">
        <f>VLOOKUP(B38, [1]PRECIOS_MATERIALES!$A:$C, 3, FALSE)</f>
        <v>4818</v>
      </c>
      <c r="F38" s="30">
        <f t="shared" si="1"/>
        <v>1594758</v>
      </c>
      <c r="G38" s="37"/>
    </row>
    <row r="39" spans="1:7" x14ac:dyDescent="0.25">
      <c r="A39" s="8" t="s">
        <v>72</v>
      </c>
      <c r="B39" s="9" t="s">
        <v>73</v>
      </c>
      <c r="C39" s="10" t="s">
        <v>18</v>
      </c>
      <c r="D39" s="10">
        <v>1</v>
      </c>
      <c r="E39" s="11">
        <f>VLOOKUP(B39, [1]PRECIOS_MATERIALES!$A:$C, 3, FALSE)</f>
        <v>6416</v>
      </c>
      <c r="F39" s="30">
        <f t="shared" si="1"/>
        <v>6416</v>
      </c>
      <c r="G39" s="37"/>
    </row>
    <row r="40" spans="1:7" x14ac:dyDescent="0.25">
      <c r="A40" s="8" t="s">
        <v>74</v>
      </c>
      <c r="B40" s="9" t="s">
        <v>75</v>
      </c>
      <c r="C40" s="10" t="s">
        <v>18</v>
      </c>
      <c r="D40" s="10">
        <v>57</v>
      </c>
      <c r="E40" s="11">
        <f>VLOOKUP(B40, [1]PRECIOS_MATERIALES!$A:$C, 3, FALSE)</f>
        <v>4971</v>
      </c>
      <c r="F40" s="30">
        <f t="shared" si="1"/>
        <v>283347</v>
      </c>
      <c r="G40" s="37"/>
    </row>
    <row r="41" spans="1:7" x14ac:dyDescent="0.25">
      <c r="A41" s="8" t="s">
        <v>76</v>
      </c>
      <c r="B41" s="9" t="s">
        <v>77</v>
      </c>
      <c r="C41" s="10" t="s">
        <v>18</v>
      </c>
      <c r="D41" s="10">
        <v>14</v>
      </c>
      <c r="E41" s="11">
        <f>VLOOKUP(B41, [1]PRECIOS_MATERIALES!$A:$C, 3, FALSE)</f>
        <v>5306</v>
      </c>
      <c r="F41" s="30">
        <f t="shared" si="1"/>
        <v>74284</v>
      </c>
      <c r="G41" s="37"/>
    </row>
    <row r="42" spans="1:7" x14ac:dyDescent="0.25">
      <c r="A42" s="8" t="s">
        <v>78</v>
      </c>
      <c r="B42" s="9" t="s">
        <v>79</v>
      </c>
      <c r="C42" s="10" t="s">
        <v>18</v>
      </c>
      <c r="D42" s="10">
        <v>23</v>
      </c>
      <c r="E42" s="11">
        <f>VLOOKUP(B42, [1]PRECIOS_MATERIALES!$A:$C, 3, FALSE)</f>
        <v>5001</v>
      </c>
      <c r="F42" s="30">
        <f t="shared" si="1"/>
        <v>115023</v>
      </c>
      <c r="G42" s="37"/>
    </row>
    <row r="43" spans="1:7" x14ac:dyDescent="0.25">
      <c r="A43" s="8" t="s">
        <v>80</v>
      </c>
      <c r="B43" s="9" t="s">
        <v>81</v>
      </c>
      <c r="C43" s="10" t="s">
        <v>18</v>
      </c>
      <c r="D43" s="10">
        <v>792</v>
      </c>
      <c r="E43" s="11">
        <f>VLOOKUP(B43, [1]PRECIOS_MATERIALES!$A:$C, 3, FALSE)</f>
        <v>1921</v>
      </c>
      <c r="F43" s="30">
        <f t="shared" si="1"/>
        <v>1521432</v>
      </c>
      <c r="G43" s="37"/>
    </row>
    <row r="44" spans="1:7" x14ac:dyDescent="0.25">
      <c r="A44" s="8" t="s">
        <v>82</v>
      </c>
      <c r="B44" s="9" t="s">
        <v>83</v>
      </c>
      <c r="C44" s="10" t="s">
        <v>18</v>
      </c>
      <c r="D44" s="10">
        <v>7</v>
      </c>
      <c r="E44" s="11">
        <f>VLOOKUP(B44, [1]PRECIOS_MATERIALES!$A:$C, 3, FALSE)</f>
        <v>10795</v>
      </c>
      <c r="F44" s="30">
        <f t="shared" si="1"/>
        <v>75565</v>
      </c>
      <c r="G44" s="37"/>
    </row>
    <row r="45" spans="1:7" x14ac:dyDescent="0.25">
      <c r="A45" s="8" t="s">
        <v>84</v>
      </c>
      <c r="B45" s="9" t="s">
        <v>85</v>
      </c>
      <c r="C45" s="10" t="s">
        <v>18</v>
      </c>
      <c r="D45" s="10">
        <v>16</v>
      </c>
      <c r="E45" s="11">
        <f>VLOOKUP(B45, [1]PRECIOS_MATERIALES!$A:$C, 3, FALSE)</f>
        <v>7380</v>
      </c>
      <c r="F45" s="30">
        <f t="shared" si="1"/>
        <v>118080</v>
      </c>
      <c r="G45" s="37"/>
    </row>
    <row r="46" spans="1:7" x14ac:dyDescent="0.25">
      <c r="A46" s="8" t="s">
        <v>86</v>
      </c>
      <c r="B46" s="9" t="s">
        <v>87</v>
      </c>
      <c r="C46" s="10" t="s">
        <v>18</v>
      </c>
      <c r="D46" s="10">
        <v>15</v>
      </c>
      <c r="E46" s="11">
        <f>VLOOKUP(B46, [1]PRECIOS_MATERIALES!$A:$C, 3, FALSE)</f>
        <v>6129</v>
      </c>
      <c r="F46" s="30">
        <f t="shared" si="1"/>
        <v>91935</v>
      </c>
      <c r="G46" s="37"/>
    </row>
    <row r="47" spans="1:7" x14ac:dyDescent="0.25">
      <c r="A47" s="8" t="s">
        <v>88</v>
      </c>
      <c r="B47" s="9" t="s">
        <v>89</v>
      </c>
      <c r="C47" s="10" t="s">
        <v>18</v>
      </c>
      <c r="D47" s="10">
        <v>4</v>
      </c>
      <c r="E47" s="11">
        <f>VLOOKUP(B47, [1]PRECIOS_MATERIALES!$A:$C, 3, FALSE)</f>
        <v>5794</v>
      </c>
      <c r="F47" s="30">
        <f t="shared" si="1"/>
        <v>23176</v>
      </c>
      <c r="G47" s="37"/>
    </row>
    <row r="48" spans="1:7" x14ac:dyDescent="0.25">
      <c r="A48" s="8" t="s">
        <v>90</v>
      </c>
      <c r="B48" s="9" t="s">
        <v>91</v>
      </c>
      <c r="C48" s="10" t="s">
        <v>18</v>
      </c>
      <c r="D48" s="10">
        <v>4</v>
      </c>
      <c r="E48" s="11">
        <f>VLOOKUP(B48, [1]PRECIOS_MATERIALES!$A:$C, 3, FALSE)</f>
        <v>5645</v>
      </c>
      <c r="F48" s="30">
        <f t="shared" si="1"/>
        <v>22580</v>
      </c>
      <c r="G48" s="37"/>
    </row>
    <row r="49" spans="1:7" x14ac:dyDescent="0.25">
      <c r="A49" s="8" t="s">
        <v>92</v>
      </c>
      <c r="B49" s="9" t="s">
        <v>93</v>
      </c>
      <c r="C49" s="10" t="s">
        <v>18</v>
      </c>
      <c r="D49" s="10">
        <v>1</v>
      </c>
      <c r="E49" s="11">
        <f>VLOOKUP(B49, [1]PRECIOS_MATERIALES!$A:$C, 3, FALSE)</f>
        <v>7929</v>
      </c>
      <c r="F49" s="30">
        <f t="shared" si="1"/>
        <v>7929</v>
      </c>
      <c r="G49" s="37"/>
    </row>
    <row r="50" spans="1:7" x14ac:dyDescent="0.25">
      <c r="A50" s="8" t="s">
        <v>94</v>
      </c>
      <c r="B50" s="9" t="s">
        <v>95</v>
      </c>
      <c r="C50" s="10" t="s">
        <v>18</v>
      </c>
      <c r="D50" s="10">
        <v>1</v>
      </c>
      <c r="E50" s="11">
        <f>VLOOKUP(B50, [1]PRECIOS_MATERIALES!$A:$C, 3, FALSE)</f>
        <v>8182</v>
      </c>
      <c r="F50" s="30">
        <f t="shared" si="1"/>
        <v>8182</v>
      </c>
      <c r="G50" s="37"/>
    </row>
    <row r="51" spans="1:7" x14ac:dyDescent="0.25">
      <c r="A51" s="8" t="s">
        <v>96</v>
      </c>
      <c r="B51" s="9" t="s">
        <v>97</v>
      </c>
      <c r="C51" s="10" t="s">
        <v>18</v>
      </c>
      <c r="D51" s="10">
        <v>3</v>
      </c>
      <c r="E51" s="11">
        <f>VLOOKUP(B51, [1]PRECIOS_MATERIALES!$A:$C, 3, FALSE)</f>
        <v>3293</v>
      </c>
      <c r="F51" s="30">
        <f t="shared" si="1"/>
        <v>9879</v>
      </c>
      <c r="G51" s="37"/>
    </row>
    <row r="52" spans="1:7" x14ac:dyDescent="0.25">
      <c r="A52" s="8" t="s">
        <v>98</v>
      </c>
      <c r="B52" s="9" t="s">
        <v>99</v>
      </c>
      <c r="C52" s="10" t="s">
        <v>18</v>
      </c>
      <c r="D52" s="10">
        <v>3</v>
      </c>
      <c r="E52" s="11">
        <f>VLOOKUP(B52, [1]PRECIOS_MATERIALES!$A:$C, 3, FALSE)</f>
        <v>2013</v>
      </c>
      <c r="F52" s="30">
        <f t="shared" si="1"/>
        <v>6039</v>
      </c>
      <c r="G52" s="37"/>
    </row>
    <row r="53" spans="1:7" x14ac:dyDescent="0.25">
      <c r="A53" s="8" t="s">
        <v>100</v>
      </c>
      <c r="B53" s="9" t="s">
        <v>101</v>
      </c>
      <c r="C53" s="10" t="s">
        <v>18</v>
      </c>
      <c r="D53" s="10">
        <v>49.638500000000001</v>
      </c>
      <c r="E53" s="11">
        <f>VLOOKUP(B53, [1]PRECIOS_MATERIALES!$A:$C, 3, FALSE)</f>
        <v>6709</v>
      </c>
      <c r="F53" s="30">
        <f t="shared" si="1"/>
        <v>333024.69650000002</v>
      </c>
      <c r="G53" s="37"/>
    </row>
    <row r="54" spans="1:7" x14ac:dyDescent="0.25">
      <c r="A54" s="8" t="s">
        <v>102</v>
      </c>
      <c r="B54" s="9" t="s">
        <v>103</v>
      </c>
      <c r="C54" s="10" t="s">
        <v>18</v>
      </c>
      <c r="D54" s="10">
        <v>85</v>
      </c>
      <c r="E54" s="11">
        <f>VLOOKUP(B54, [1]PRECIOS_MATERIALES!$A:$C, 3, FALSE)</f>
        <v>7959</v>
      </c>
      <c r="F54" s="30">
        <f t="shared" si="1"/>
        <v>676515</v>
      </c>
      <c r="G54" s="37"/>
    </row>
    <row r="55" spans="1:7" x14ac:dyDescent="0.25">
      <c r="A55" s="8" t="s">
        <v>104</v>
      </c>
      <c r="B55" s="9" t="s">
        <v>105</v>
      </c>
      <c r="C55" s="10" t="s">
        <v>18</v>
      </c>
      <c r="D55" s="10">
        <v>38.933999999999997</v>
      </c>
      <c r="E55" s="11">
        <f>VLOOKUP(B55, [1]PRECIOS_MATERIALES!$A:$C, 3, FALSE)</f>
        <v>6312</v>
      </c>
      <c r="F55" s="30">
        <f t="shared" si="1"/>
        <v>245751.408</v>
      </c>
      <c r="G55" s="37"/>
    </row>
    <row r="56" spans="1:7" x14ac:dyDescent="0.25">
      <c r="A56" s="8" t="s">
        <v>106</v>
      </c>
      <c r="B56" s="9" t="s">
        <v>107</v>
      </c>
      <c r="C56" s="10" t="s">
        <v>18</v>
      </c>
      <c r="D56" s="10">
        <v>139</v>
      </c>
      <c r="E56" s="11">
        <f>VLOOKUP(B56, [1]PRECIOS_MATERIALES!$A:$C, 3, FALSE)</f>
        <v>6892</v>
      </c>
      <c r="F56" s="30">
        <f t="shared" si="1"/>
        <v>957988</v>
      </c>
      <c r="G56" s="37"/>
    </row>
    <row r="57" spans="1:7" x14ac:dyDescent="0.25">
      <c r="A57" s="8" t="s">
        <v>108</v>
      </c>
      <c r="B57" s="9" t="s">
        <v>109</v>
      </c>
      <c r="C57" s="10" t="s">
        <v>18</v>
      </c>
      <c r="D57" s="10">
        <v>132</v>
      </c>
      <c r="E57" s="11">
        <f>VLOOKUP(B57, [1]PRECIOS_MATERIALES!$A:$C, 3, FALSE)</f>
        <v>10634</v>
      </c>
      <c r="F57" s="30">
        <f t="shared" si="1"/>
        <v>1403688</v>
      </c>
      <c r="G57" s="37"/>
    </row>
    <row r="58" spans="1:7" x14ac:dyDescent="0.25">
      <c r="A58" s="12" t="s">
        <v>110</v>
      </c>
      <c r="B58" s="13" t="s">
        <v>111</v>
      </c>
      <c r="C58" s="10"/>
      <c r="D58" s="10"/>
      <c r="E58" s="11"/>
      <c r="F58" s="30">
        <f t="shared" si="1"/>
        <v>0</v>
      </c>
      <c r="G58" s="37" t="s">
        <v>713</v>
      </c>
    </row>
    <row r="59" spans="1:7" x14ac:dyDescent="0.25">
      <c r="A59" s="8" t="s">
        <v>112</v>
      </c>
      <c r="B59" s="9" t="s">
        <v>113</v>
      </c>
      <c r="C59" s="10" t="s">
        <v>18</v>
      </c>
      <c r="D59" s="10">
        <v>42</v>
      </c>
      <c r="E59" s="11">
        <f>VLOOKUP(B59, [1]PRECIOS_MATERIALES!$A:$C, 3, FALSE)</f>
        <v>945</v>
      </c>
      <c r="F59" s="30">
        <f t="shared" si="1"/>
        <v>39690</v>
      </c>
      <c r="G59" s="37"/>
    </row>
    <row r="60" spans="1:7" x14ac:dyDescent="0.25">
      <c r="A60" s="8" t="s">
        <v>114</v>
      </c>
      <c r="B60" s="9" t="s">
        <v>115</v>
      </c>
      <c r="C60" s="10" t="s">
        <v>18</v>
      </c>
      <c r="D60" s="10">
        <v>70</v>
      </c>
      <c r="E60" s="11">
        <f>VLOOKUP(B60, [1]PRECIOS_MATERIALES!$A:$C, 3, FALSE)</f>
        <v>823</v>
      </c>
      <c r="F60" s="30">
        <f t="shared" si="1"/>
        <v>57610</v>
      </c>
      <c r="G60" s="37"/>
    </row>
    <row r="61" spans="1:7" x14ac:dyDescent="0.25">
      <c r="A61" s="8" t="s">
        <v>116</v>
      </c>
      <c r="B61" s="9" t="s">
        <v>117</v>
      </c>
      <c r="C61" s="10" t="s">
        <v>18</v>
      </c>
      <c r="D61" s="10">
        <v>39</v>
      </c>
      <c r="E61" s="11">
        <f>VLOOKUP(B61, [1]PRECIOS_MATERIALES!$A:$C, 3, FALSE)</f>
        <v>671</v>
      </c>
      <c r="F61" s="30">
        <f t="shared" si="1"/>
        <v>26169</v>
      </c>
      <c r="G61" s="37"/>
    </row>
    <row r="62" spans="1:7" x14ac:dyDescent="0.25">
      <c r="A62" s="8" t="s">
        <v>118</v>
      </c>
      <c r="B62" s="9" t="s">
        <v>119</v>
      </c>
      <c r="C62" s="10" t="s">
        <v>18</v>
      </c>
      <c r="D62" s="10">
        <v>37</v>
      </c>
      <c r="E62" s="11">
        <f>VLOOKUP(B62, [1]PRECIOS_MATERIALES!$A:$C, 3, FALSE)</f>
        <v>671</v>
      </c>
      <c r="F62" s="30">
        <f t="shared" si="1"/>
        <v>24827</v>
      </c>
      <c r="G62" s="37"/>
    </row>
    <row r="63" spans="1:7" x14ac:dyDescent="0.25">
      <c r="A63" s="8" t="s">
        <v>120</v>
      </c>
      <c r="B63" s="9" t="s">
        <v>121</v>
      </c>
      <c r="C63" s="10" t="s">
        <v>18</v>
      </c>
      <c r="D63" s="10">
        <v>15</v>
      </c>
      <c r="E63" s="11">
        <f>VLOOKUP(B63, [1]PRECIOS_MATERIALES!$A:$C, 3, FALSE)</f>
        <v>640</v>
      </c>
      <c r="F63" s="30">
        <f t="shared" si="1"/>
        <v>9600</v>
      </c>
      <c r="G63" s="37"/>
    </row>
    <row r="64" spans="1:7" x14ac:dyDescent="0.25">
      <c r="A64" s="8" t="s">
        <v>122</v>
      </c>
      <c r="B64" s="9" t="s">
        <v>123</v>
      </c>
      <c r="C64" s="10" t="s">
        <v>18</v>
      </c>
      <c r="D64" s="10">
        <v>350</v>
      </c>
      <c r="E64" s="11">
        <f>VLOOKUP(B64, [1]PRECIOS_MATERIALES!$A:$C, 3, FALSE)</f>
        <v>549</v>
      </c>
      <c r="F64" s="30">
        <f t="shared" si="1"/>
        <v>192150</v>
      </c>
      <c r="G64" s="37"/>
    </row>
    <row r="65" spans="1:7" x14ac:dyDescent="0.25">
      <c r="A65" s="8" t="s">
        <v>124</v>
      </c>
      <c r="B65" s="9" t="s">
        <v>125</v>
      </c>
      <c r="C65" s="10" t="s">
        <v>18</v>
      </c>
      <c r="D65" s="10">
        <v>5</v>
      </c>
      <c r="E65" s="11">
        <f>VLOOKUP(B65, [1]PRECIOS_MATERIALES!$A:$C, 3, FALSE)</f>
        <v>126613</v>
      </c>
      <c r="F65" s="30">
        <f t="shared" si="1"/>
        <v>633065</v>
      </c>
      <c r="G65" s="37"/>
    </row>
    <row r="66" spans="1:7" x14ac:dyDescent="0.25">
      <c r="A66" s="8" t="s">
        <v>126</v>
      </c>
      <c r="B66" s="9" t="s">
        <v>127</v>
      </c>
      <c r="C66" s="10" t="s">
        <v>18</v>
      </c>
      <c r="D66" s="10">
        <v>5</v>
      </c>
      <c r="E66" s="11">
        <f>VLOOKUP(B66, [1]PRECIOS_MATERIALES!$A:$C, 3, FALSE)</f>
        <v>126613</v>
      </c>
      <c r="F66" s="30">
        <f t="shared" si="1"/>
        <v>633065</v>
      </c>
      <c r="G66" s="37"/>
    </row>
    <row r="67" spans="1:7" x14ac:dyDescent="0.25">
      <c r="A67" s="8" t="s">
        <v>128</v>
      </c>
      <c r="B67" s="9" t="s">
        <v>129</v>
      </c>
      <c r="C67" s="10" t="s">
        <v>18</v>
      </c>
      <c r="D67" s="10">
        <v>37</v>
      </c>
      <c r="E67" s="11">
        <f>VLOOKUP(B67, [1]PRECIOS_MATERIALES!$A:$C, 3, FALSE)</f>
        <v>66844</v>
      </c>
      <c r="F67" s="30">
        <f t="shared" si="1"/>
        <v>2473228</v>
      </c>
      <c r="G67" s="37"/>
    </row>
    <row r="68" spans="1:7" x14ac:dyDescent="0.25">
      <c r="A68" s="8" t="s">
        <v>130</v>
      </c>
      <c r="B68" s="9" t="s">
        <v>131</v>
      </c>
      <c r="C68" s="10" t="s">
        <v>18</v>
      </c>
      <c r="D68" s="10">
        <v>42</v>
      </c>
      <c r="E68" s="11">
        <f>VLOOKUP(B68, [1]PRECIOS_MATERIALES!$A:$C, 3, FALSE)</f>
        <v>66844</v>
      </c>
      <c r="F68" s="30">
        <f t="shared" si="1"/>
        <v>2807448</v>
      </c>
      <c r="G68" s="37"/>
    </row>
    <row r="69" spans="1:7" x14ac:dyDescent="0.25">
      <c r="A69" s="12" t="s">
        <v>132</v>
      </c>
      <c r="B69" s="13" t="s">
        <v>133</v>
      </c>
      <c r="C69" s="10"/>
      <c r="D69" s="10"/>
      <c r="E69" s="11"/>
      <c r="F69" s="30">
        <f t="shared" si="1"/>
        <v>0</v>
      </c>
      <c r="G69" s="37" t="s">
        <v>713</v>
      </c>
    </row>
    <row r="70" spans="1:7" x14ac:dyDescent="0.25">
      <c r="A70" s="8" t="s">
        <v>134</v>
      </c>
      <c r="B70" s="9" t="s">
        <v>135</v>
      </c>
      <c r="C70" s="10" t="s">
        <v>18</v>
      </c>
      <c r="D70" s="10">
        <v>12</v>
      </c>
      <c r="E70" s="11">
        <f>VLOOKUP(B70, [1]PRECIOS_MATERIALES!$A:$C, 3, FALSE)</f>
        <v>29884</v>
      </c>
      <c r="F70" s="30">
        <f t="shared" si="1"/>
        <v>358608</v>
      </c>
      <c r="G70" s="37"/>
    </row>
    <row r="71" spans="1:7" x14ac:dyDescent="0.25">
      <c r="A71" s="12">
        <v>3</v>
      </c>
      <c r="B71" s="13" t="s">
        <v>136</v>
      </c>
      <c r="C71" s="10"/>
      <c r="D71" s="10"/>
      <c r="E71" s="11"/>
      <c r="F71" s="30">
        <f t="shared" si="1"/>
        <v>0</v>
      </c>
      <c r="G71" s="37" t="s">
        <v>713</v>
      </c>
    </row>
    <row r="72" spans="1:7" x14ac:dyDescent="0.25">
      <c r="A72" s="12" t="s">
        <v>137</v>
      </c>
      <c r="B72" s="13" t="s">
        <v>30</v>
      </c>
      <c r="C72" s="10"/>
      <c r="D72" s="10"/>
      <c r="E72" s="11"/>
      <c r="F72" s="30">
        <f t="shared" si="1"/>
        <v>0</v>
      </c>
      <c r="G72" s="37" t="s">
        <v>713</v>
      </c>
    </row>
    <row r="73" spans="1:7" x14ac:dyDescent="0.25">
      <c r="A73" s="8" t="s">
        <v>138</v>
      </c>
      <c r="B73" s="9" t="s">
        <v>139</v>
      </c>
      <c r="C73" s="10" t="s">
        <v>33</v>
      </c>
      <c r="D73" s="10">
        <v>88.787999999999997</v>
      </c>
      <c r="E73" s="11">
        <f>VLOOKUP(B73, [1]PRECIOS_MATERIALES!$A:$C, 3, FALSE)</f>
        <v>68185</v>
      </c>
      <c r="F73" s="30">
        <f t="shared" si="1"/>
        <v>6054009.7799999993</v>
      </c>
      <c r="G73" s="37"/>
    </row>
    <row r="74" spans="1:7" x14ac:dyDescent="0.25">
      <c r="A74" s="8" t="s">
        <v>140</v>
      </c>
      <c r="B74" s="9" t="s">
        <v>141</v>
      </c>
      <c r="C74" s="10" t="s">
        <v>33</v>
      </c>
      <c r="D74" s="10">
        <v>202.69200000000001</v>
      </c>
      <c r="E74" s="11">
        <f>VLOOKUP(B74, [1]PRECIOS_MATERIALES!$A:$C, 3, FALSE)</f>
        <v>47144</v>
      </c>
      <c r="F74" s="30">
        <f t="shared" si="1"/>
        <v>9555711.648</v>
      </c>
      <c r="G74" s="37"/>
    </row>
    <row r="75" spans="1:7" x14ac:dyDescent="0.25">
      <c r="A75" s="8" t="s">
        <v>142</v>
      </c>
      <c r="B75" s="9" t="s">
        <v>143</v>
      </c>
      <c r="C75" s="10" t="s">
        <v>33</v>
      </c>
      <c r="D75" s="10">
        <v>6</v>
      </c>
      <c r="E75" s="11">
        <f>VLOOKUP(B75, [1]PRECIOS_MATERIALES!$A:$C, 3, FALSE)</f>
        <v>22169</v>
      </c>
      <c r="F75" s="30">
        <f t="shared" si="1"/>
        <v>133014</v>
      </c>
      <c r="G75" s="37"/>
    </row>
    <row r="76" spans="1:7" x14ac:dyDescent="0.25">
      <c r="A76" s="8" t="s">
        <v>144</v>
      </c>
      <c r="B76" s="9" t="s">
        <v>145</v>
      </c>
      <c r="C76" s="10" t="s">
        <v>33</v>
      </c>
      <c r="D76" s="10">
        <v>18</v>
      </c>
      <c r="E76" s="11">
        <f>VLOOKUP(B76, [1]PRECIOS_MATERIALES!$A:$C, 3, FALSE)</f>
        <v>9514</v>
      </c>
      <c r="F76" s="30">
        <f t="shared" si="1"/>
        <v>171252</v>
      </c>
      <c r="G76" s="37"/>
    </row>
    <row r="77" spans="1:7" x14ac:dyDescent="0.25">
      <c r="A77" s="8" t="s">
        <v>146</v>
      </c>
      <c r="B77" s="9" t="s">
        <v>32</v>
      </c>
      <c r="C77" s="10" t="s">
        <v>33</v>
      </c>
      <c r="D77" s="10">
        <v>24</v>
      </c>
      <c r="E77" s="11">
        <f>VLOOKUP(B77, [1]PRECIOS_MATERIALES!$A:$C, 3, FALSE)</f>
        <v>37777</v>
      </c>
      <c r="F77" s="30">
        <f t="shared" ref="F77:F140" si="2">D77*E77</f>
        <v>906648</v>
      </c>
      <c r="G77" s="37"/>
    </row>
    <row r="78" spans="1:7" x14ac:dyDescent="0.25">
      <c r="A78" s="8" t="s">
        <v>147</v>
      </c>
      <c r="B78" s="9" t="s">
        <v>37</v>
      </c>
      <c r="C78" s="10" t="s">
        <v>33</v>
      </c>
      <c r="D78" s="10">
        <v>18</v>
      </c>
      <c r="E78" s="11">
        <f>VLOOKUP(B78, [1]PRECIOS_MATERIALES!$A:$C, 3, FALSE)</f>
        <v>17092</v>
      </c>
      <c r="F78" s="30">
        <f t="shared" si="2"/>
        <v>307656</v>
      </c>
      <c r="G78" s="37"/>
    </row>
    <row r="79" spans="1:7" x14ac:dyDescent="0.25">
      <c r="A79" s="8" t="s">
        <v>148</v>
      </c>
      <c r="B79" s="9" t="s">
        <v>149</v>
      </c>
      <c r="C79" s="10" t="s">
        <v>33</v>
      </c>
      <c r="D79" s="10">
        <v>16</v>
      </c>
      <c r="E79" s="11">
        <f>VLOOKUP(B79, [1]PRECIOS_MATERIALES!$A:$C, 3, FALSE)</f>
        <v>4608</v>
      </c>
      <c r="F79" s="30">
        <f t="shared" si="2"/>
        <v>73728</v>
      </c>
      <c r="G79" s="37"/>
    </row>
    <row r="80" spans="1:7" x14ac:dyDescent="0.25">
      <c r="A80" s="8" t="s">
        <v>150</v>
      </c>
      <c r="B80" s="9" t="s">
        <v>151</v>
      </c>
      <c r="C80" s="10" t="s">
        <v>18</v>
      </c>
      <c r="D80" s="10">
        <v>4</v>
      </c>
      <c r="E80" s="11">
        <f>VLOOKUP(B80, [1]PRECIOS_MATERIALES!$A:$C, 3, FALSE)</f>
        <v>155007</v>
      </c>
      <c r="F80" s="30">
        <f t="shared" si="2"/>
        <v>620028</v>
      </c>
      <c r="G80" s="37"/>
    </row>
    <row r="81" spans="1:7" x14ac:dyDescent="0.25">
      <c r="A81" s="8" t="s">
        <v>152</v>
      </c>
      <c r="B81" s="9" t="s">
        <v>49</v>
      </c>
      <c r="C81" s="10" t="s">
        <v>18</v>
      </c>
      <c r="D81" s="10">
        <v>12</v>
      </c>
      <c r="E81" s="11">
        <f>VLOOKUP(B81, [1]PRECIOS_MATERIALES!$A:$C, 3, FALSE)</f>
        <v>8172</v>
      </c>
      <c r="F81" s="30">
        <f t="shared" si="2"/>
        <v>98064</v>
      </c>
      <c r="G81" s="37"/>
    </row>
    <row r="82" spans="1:7" x14ac:dyDescent="0.25">
      <c r="A82" s="8" t="s">
        <v>153</v>
      </c>
      <c r="B82" s="9" t="s">
        <v>154</v>
      </c>
      <c r="C82" s="10" t="s">
        <v>18</v>
      </c>
      <c r="D82" s="10">
        <v>8</v>
      </c>
      <c r="E82" s="11">
        <f>VLOOKUP(B82, [1]PRECIOS_MATERIALES!$A:$C, 3, FALSE)</f>
        <v>138217</v>
      </c>
      <c r="F82" s="30">
        <f t="shared" si="2"/>
        <v>1105736</v>
      </c>
      <c r="G82" s="37"/>
    </row>
    <row r="83" spans="1:7" x14ac:dyDescent="0.25">
      <c r="A83" s="8" t="s">
        <v>155</v>
      </c>
      <c r="B83" s="9" t="s">
        <v>156</v>
      </c>
      <c r="C83" s="10" t="s">
        <v>18</v>
      </c>
      <c r="D83" s="10">
        <v>6</v>
      </c>
      <c r="E83" s="11">
        <f>VLOOKUP(B83, [1]PRECIOS_MATERIALES!$A:$C, 3, FALSE)</f>
        <v>130054</v>
      </c>
      <c r="F83" s="30">
        <f t="shared" si="2"/>
        <v>780324</v>
      </c>
      <c r="G83" s="37"/>
    </row>
    <row r="84" spans="1:7" x14ac:dyDescent="0.25">
      <c r="A84" s="8" t="s">
        <v>157</v>
      </c>
      <c r="B84" s="9" t="s">
        <v>158</v>
      </c>
      <c r="C84" s="10" t="s">
        <v>18</v>
      </c>
      <c r="D84" s="10">
        <v>2</v>
      </c>
      <c r="E84" s="11">
        <f>VLOOKUP(B84, [1]PRECIOS_MATERIALES!$A:$C, 3, FALSE)</f>
        <v>139784</v>
      </c>
      <c r="F84" s="30">
        <f t="shared" si="2"/>
        <v>279568</v>
      </c>
      <c r="G84" s="37"/>
    </row>
    <row r="85" spans="1:7" x14ac:dyDescent="0.25">
      <c r="A85" s="8" t="s">
        <v>159</v>
      </c>
      <c r="B85" s="9" t="s">
        <v>160</v>
      </c>
      <c r="C85" s="10" t="s">
        <v>18</v>
      </c>
      <c r="D85" s="10">
        <v>10</v>
      </c>
      <c r="E85" s="11">
        <f>VLOOKUP(B85, [1]PRECIOS_MATERIALES!$A:$C, 3, FALSE)</f>
        <v>121971</v>
      </c>
      <c r="F85" s="30">
        <f t="shared" si="2"/>
        <v>1219710</v>
      </c>
      <c r="G85" s="37"/>
    </row>
    <row r="86" spans="1:7" x14ac:dyDescent="0.25">
      <c r="A86" s="8" t="s">
        <v>161</v>
      </c>
      <c r="B86" s="9" t="s">
        <v>162</v>
      </c>
      <c r="C86" s="10" t="s">
        <v>18</v>
      </c>
      <c r="D86" s="10">
        <v>16</v>
      </c>
      <c r="E86" s="11">
        <f>VLOOKUP(B86, [1]PRECIOS_MATERIALES!$A:$C, 3, FALSE)</f>
        <v>121971</v>
      </c>
      <c r="F86" s="30">
        <f t="shared" si="2"/>
        <v>1951536</v>
      </c>
      <c r="G86" s="37"/>
    </row>
    <row r="87" spans="1:7" x14ac:dyDescent="0.25">
      <c r="A87" s="8" t="s">
        <v>163</v>
      </c>
      <c r="B87" s="9" t="s">
        <v>164</v>
      </c>
      <c r="C87" s="10" t="s">
        <v>18</v>
      </c>
      <c r="D87" s="10">
        <v>2</v>
      </c>
      <c r="E87" s="11">
        <f>VLOOKUP(B87, [1]PRECIOS_MATERIALES!$A:$C, 3, FALSE)</f>
        <v>58554</v>
      </c>
      <c r="F87" s="30">
        <f t="shared" si="2"/>
        <v>117108</v>
      </c>
      <c r="G87" s="37"/>
    </row>
    <row r="88" spans="1:7" x14ac:dyDescent="0.25">
      <c r="A88" s="8" t="s">
        <v>165</v>
      </c>
      <c r="B88" s="9" t="s">
        <v>83</v>
      </c>
      <c r="C88" s="10" t="s">
        <v>18</v>
      </c>
      <c r="D88" s="10">
        <v>8</v>
      </c>
      <c r="E88" s="11">
        <f>VLOOKUP(B88, [1]PRECIOS_MATERIALES!$A:$C, 3, FALSE)</f>
        <v>10795</v>
      </c>
      <c r="F88" s="30">
        <f t="shared" si="2"/>
        <v>86360</v>
      </c>
      <c r="G88" s="37"/>
    </row>
    <row r="89" spans="1:7" x14ac:dyDescent="0.25">
      <c r="A89" s="8" t="s">
        <v>166</v>
      </c>
      <c r="B89" s="9" t="s">
        <v>167</v>
      </c>
      <c r="C89" s="10" t="s">
        <v>18</v>
      </c>
      <c r="D89" s="10">
        <v>11</v>
      </c>
      <c r="E89" s="11">
        <f>VLOOKUP(B89, [1]PRECIOS_MATERIALES!$A:$C, 3, FALSE)</f>
        <v>21296</v>
      </c>
      <c r="F89" s="30">
        <f t="shared" si="2"/>
        <v>234256</v>
      </c>
      <c r="G89" s="37"/>
    </row>
    <row r="90" spans="1:7" x14ac:dyDescent="0.25">
      <c r="A90" s="8" t="s">
        <v>168</v>
      </c>
      <c r="B90" s="9" t="s">
        <v>169</v>
      </c>
      <c r="C90" s="10" t="s">
        <v>18</v>
      </c>
      <c r="D90" s="10">
        <v>13</v>
      </c>
      <c r="E90" s="11">
        <f>VLOOKUP(B90, [1]PRECIOS_MATERIALES!$A:$C, 3, FALSE)</f>
        <v>15210</v>
      </c>
      <c r="F90" s="30">
        <f t="shared" si="2"/>
        <v>197730</v>
      </c>
      <c r="G90" s="37"/>
    </row>
    <row r="91" spans="1:7" x14ac:dyDescent="0.25">
      <c r="A91" s="8" t="s">
        <v>170</v>
      </c>
      <c r="B91" s="9" t="s">
        <v>171</v>
      </c>
      <c r="C91" s="10" t="s">
        <v>18</v>
      </c>
      <c r="D91" s="10">
        <v>4</v>
      </c>
      <c r="E91" s="11">
        <f>VLOOKUP(B91, [1]PRECIOS_MATERIALES!$A:$C, 3, FALSE)</f>
        <v>112902</v>
      </c>
      <c r="F91" s="30">
        <f t="shared" si="2"/>
        <v>451608</v>
      </c>
      <c r="G91" s="37"/>
    </row>
    <row r="92" spans="1:7" x14ac:dyDescent="0.25">
      <c r="A92" s="8" t="s">
        <v>172</v>
      </c>
      <c r="B92" s="9" t="s">
        <v>173</v>
      </c>
      <c r="C92" s="10" t="s">
        <v>18</v>
      </c>
      <c r="D92" s="10">
        <v>1</v>
      </c>
      <c r="E92" s="11">
        <f>VLOOKUP(B92, [1]PRECIOS_MATERIALES!$A:$C, 3, FALSE)</f>
        <v>17760</v>
      </c>
      <c r="F92" s="30">
        <f t="shared" si="2"/>
        <v>17760</v>
      </c>
      <c r="G92" s="37"/>
    </row>
    <row r="93" spans="1:7" x14ac:dyDescent="0.25">
      <c r="A93" s="8" t="s">
        <v>174</v>
      </c>
      <c r="B93" s="9" t="s">
        <v>175</v>
      </c>
      <c r="C93" s="10" t="s">
        <v>18</v>
      </c>
      <c r="D93" s="10">
        <v>127.765</v>
      </c>
      <c r="E93" s="11">
        <f>VLOOKUP(B93, [1]PRECIOS_MATERIALES!$A:$C, 3, FALSE)</f>
        <v>22871</v>
      </c>
      <c r="F93" s="30">
        <f t="shared" si="2"/>
        <v>2922113.3149999999</v>
      </c>
      <c r="G93" s="37"/>
    </row>
    <row r="94" spans="1:7" x14ac:dyDescent="0.25">
      <c r="A94" s="8" t="s">
        <v>176</v>
      </c>
      <c r="B94" s="9" t="s">
        <v>177</v>
      </c>
      <c r="C94" s="10" t="s">
        <v>18</v>
      </c>
      <c r="D94" s="10">
        <v>10</v>
      </c>
      <c r="E94" s="11">
        <f>VLOOKUP(B94, [1]PRECIOS_MATERIALES!$A:$C, 3, FALSE)</f>
        <v>12625</v>
      </c>
      <c r="F94" s="30">
        <f t="shared" si="2"/>
        <v>126250</v>
      </c>
      <c r="G94" s="37"/>
    </row>
    <row r="95" spans="1:7" x14ac:dyDescent="0.25">
      <c r="A95" s="8" t="s">
        <v>178</v>
      </c>
      <c r="B95" s="9" t="s">
        <v>101</v>
      </c>
      <c r="C95" s="10" t="s">
        <v>18</v>
      </c>
      <c r="D95" s="10">
        <v>40</v>
      </c>
      <c r="E95" s="11">
        <f>VLOOKUP(B95, [1]PRECIOS_MATERIALES!$A:$C, 3, FALSE)</f>
        <v>6709</v>
      </c>
      <c r="F95" s="30">
        <f t="shared" si="2"/>
        <v>268360</v>
      </c>
      <c r="G95" s="37"/>
    </row>
    <row r="96" spans="1:7" x14ac:dyDescent="0.25">
      <c r="A96" s="8" t="s">
        <v>179</v>
      </c>
      <c r="B96" s="9" t="s">
        <v>180</v>
      </c>
      <c r="C96" s="10" t="s">
        <v>18</v>
      </c>
      <c r="D96" s="10">
        <v>31</v>
      </c>
      <c r="E96" s="11">
        <f>VLOOKUP(B96, [1]PRECIOS_MATERIALES!$A:$C, 3, FALSE)</f>
        <v>6312</v>
      </c>
      <c r="F96" s="30">
        <f t="shared" si="2"/>
        <v>195672</v>
      </c>
      <c r="G96" s="37"/>
    </row>
    <row r="97" spans="1:7" x14ac:dyDescent="0.25">
      <c r="A97" s="8" t="s">
        <v>181</v>
      </c>
      <c r="B97" s="9" t="s">
        <v>182</v>
      </c>
      <c r="C97" s="10" t="s">
        <v>18</v>
      </c>
      <c r="D97" s="10">
        <v>8</v>
      </c>
      <c r="E97" s="11">
        <f>VLOOKUP(B97, [1]PRECIOS_MATERIALES!$A:$C, 3, FALSE)</f>
        <v>22871</v>
      </c>
      <c r="F97" s="30">
        <f t="shared" si="2"/>
        <v>182968</v>
      </c>
      <c r="G97" s="37"/>
    </row>
    <row r="98" spans="1:7" x14ac:dyDescent="0.25">
      <c r="A98" s="8" t="s">
        <v>183</v>
      </c>
      <c r="B98" s="9" t="s">
        <v>184</v>
      </c>
      <c r="C98" s="10" t="s">
        <v>18</v>
      </c>
      <c r="D98" s="10">
        <v>2</v>
      </c>
      <c r="E98" s="11">
        <f>VLOOKUP(B98, [1]PRECIOS_MATERIALES!$A:$C, 3, FALSE)</f>
        <v>12625</v>
      </c>
      <c r="F98" s="30">
        <f t="shared" si="2"/>
        <v>25250</v>
      </c>
      <c r="G98" s="37"/>
    </row>
    <row r="99" spans="1:7" x14ac:dyDescent="0.25">
      <c r="A99" s="8" t="s">
        <v>185</v>
      </c>
      <c r="B99" s="9" t="s">
        <v>103</v>
      </c>
      <c r="C99" s="10" t="s">
        <v>18</v>
      </c>
      <c r="D99" s="10">
        <v>8</v>
      </c>
      <c r="E99" s="11">
        <f>VLOOKUP(B99, [1]PRECIOS_MATERIALES!$A:$C, 3, FALSE)</f>
        <v>7959</v>
      </c>
      <c r="F99" s="30">
        <f t="shared" si="2"/>
        <v>63672</v>
      </c>
      <c r="G99" s="37"/>
    </row>
    <row r="100" spans="1:7" x14ac:dyDescent="0.25">
      <c r="A100" s="8" t="s">
        <v>186</v>
      </c>
      <c r="B100" s="9" t="s">
        <v>187</v>
      </c>
      <c r="C100" s="10" t="s">
        <v>18</v>
      </c>
      <c r="D100" s="10">
        <v>6</v>
      </c>
      <c r="E100" s="11">
        <f>VLOOKUP(B100, [1]PRECIOS_MATERIALES!$A:$C, 3, FALSE)</f>
        <v>6892</v>
      </c>
      <c r="F100" s="30">
        <f t="shared" si="2"/>
        <v>41352</v>
      </c>
      <c r="G100" s="37"/>
    </row>
    <row r="101" spans="1:7" x14ac:dyDescent="0.25">
      <c r="A101" s="8" t="s">
        <v>188</v>
      </c>
      <c r="B101" s="9" t="s">
        <v>189</v>
      </c>
      <c r="C101" s="10" t="s">
        <v>18</v>
      </c>
      <c r="D101" s="10">
        <v>4</v>
      </c>
      <c r="E101" s="11">
        <f>VLOOKUP(B101, [1]PRECIOS_MATERIALES!$A:$C, 3, FALSE)</f>
        <v>4344</v>
      </c>
      <c r="F101" s="30">
        <f t="shared" si="2"/>
        <v>17376</v>
      </c>
      <c r="G101" s="37"/>
    </row>
    <row r="102" spans="1:7" x14ac:dyDescent="0.25">
      <c r="A102" s="8" t="s">
        <v>190</v>
      </c>
      <c r="B102" s="9" t="s">
        <v>191</v>
      </c>
      <c r="C102" s="10" t="s">
        <v>18</v>
      </c>
      <c r="D102" s="10">
        <v>4</v>
      </c>
      <c r="E102" s="11">
        <f>VLOOKUP(B102, [1]PRECIOS_MATERIALES!$A:$C, 3, FALSE)</f>
        <v>36135</v>
      </c>
      <c r="F102" s="30">
        <f t="shared" si="2"/>
        <v>144540</v>
      </c>
      <c r="G102" s="37"/>
    </row>
    <row r="103" spans="1:7" x14ac:dyDescent="0.25">
      <c r="A103" s="8" t="s">
        <v>192</v>
      </c>
      <c r="B103" s="9" t="s">
        <v>193</v>
      </c>
      <c r="C103" s="10" t="s">
        <v>18</v>
      </c>
      <c r="D103" s="10">
        <v>8</v>
      </c>
      <c r="E103" s="11">
        <f>VLOOKUP(B103, [1]PRECIOS_MATERIALES!$A:$C, 3, FALSE)</f>
        <v>42109</v>
      </c>
      <c r="F103" s="30">
        <f t="shared" si="2"/>
        <v>336872</v>
      </c>
      <c r="G103" s="37"/>
    </row>
    <row r="104" spans="1:7" x14ac:dyDescent="0.25">
      <c r="A104" s="8" t="s">
        <v>194</v>
      </c>
      <c r="B104" s="9" t="s">
        <v>195</v>
      </c>
      <c r="C104" s="10" t="s">
        <v>18</v>
      </c>
      <c r="D104" s="10">
        <v>8</v>
      </c>
      <c r="E104" s="11">
        <f>VLOOKUP(B104, [1]PRECIOS_MATERIALES!$A:$C, 3, FALSE)</f>
        <v>57753</v>
      </c>
      <c r="F104" s="30">
        <f t="shared" si="2"/>
        <v>462024</v>
      </c>
      <c r="G104" s="37"/>
    </row>
    <row r="105" spans="1:7" x14ac:dyDescent="0.25">
      <c r="A105" s="8" t="s">
        <v>196</v>
      </c>
      <c r="B105" s="9" t="s">
        <v>197</v>
      </c>
      <c r="C105" s="10" t="s">
        <v>18</v>
      </c>
      <c r="D105" s="10">
        <v>8</v>
      </c>
      <c r="E105" s="11">
        <f>VLOOKUP(B105, [1]PRECIOS_MATERIALES!$A:$C, 3, FALSE)</f>
        <v>2283</v>
      </c>
      <c r="F105" s="30">
        <f t="shared" si="2"/>
        <v>18264</v>
      </c>
      <c r="G105" s="37"/>
    </row>
    <row r="106" spans="1:7" x14ac:dyDescent="0.25">
      <c r="A106" s="8" t="s">
        <v>198</v>
      </c>
      <c r="B106" s="9" t="s">
        <v>199</v>
      </c>
      <c r="C106" s="10" t="s">
        <v>18</v>
      </c>
      <c r="D106" s="10">
        <v>8</v>
      </c>
      <c r="E106" s="11">
        <f>VLOOKUP(B106, [1]PRECIOS_MATERIALES!$A:$C, 3, FALSE)</f>
        <v>24452</v>
      </c>
      <c r="F106" s="30">
        <f t="shared" si="2"/>
        <v>195616</v>
      </c>
      <c r="G106" s="37"/>
    </row>
    <row r="107" spans="1:7" x14ac:dyDescent="0.25">
      <c r="A107" s="12" t="s">
        <v>200</v>
      </c>
      <c r="B107" s="13" t="s">
        <v>111</v>
      </c>
      <c r="C107" s="10"/>
      <c r="D107" s="10"/>
      <c r="E107" s="11"/>
      <c r="F107" s="30">
        <f t="shared" si="2"/>
        <v>0</v>
      </c>
      <c r="G107" s="37" t="s">
        <v>713</v>
      </c>
    </row>
    <row r="108" spans="1:7" x14ac:dyDescent="0.25">
      <c r="A108" s="8" t="s">
        <v>201</v>
      </c>
      <c r="B108" s="9" t="s">
        <v>202</v>
      </c>
      <c r="C108" s="10" t="s">
        <v>18</v>
      </c>
      <c r="D108" s="10">
        <v>4</v>
      </c>
      <c r="E108" s="11">
        <f>VLOOKUP(B108, [1]PRECIOS_MATERIALES!$A:$C, 3, FALSE)</f>
        <v>133485</v>
      </c>
      <c r="F108" s="30">
        <f t="shared" si="2"/>
        <v>533940</v>
      </c>
      <c r="G108" s="37"/>
    </row>
    <row r="109" spans="1:7" x14ac:dyDescent="0.25">
      <c r="A109" s="8" t="s">
        <v>203</v>
      </c>
      <c r="B109" s="9" t="s">
        <v>204</v>
      </c>
      <c r="C109" s="10" t="s">
        <v>18</v>
      </c>
      <c r="D109" s="10">
        <v>4</v>
      </c>
      <c r="E109" s="11">
        <f>VLOOKUP(B109, [1]PRECIOS_MATERIALES!$A:$C, 3, FALSE)</f>
        <v>133485</v>
      </c>
      <c r="F109" s="30">
        <f t="shared" si="2"/>
        <v>533940</v>
      </c>
      <c r="G109" s="37"/>
    </row>
    <row r="110" spans="1:7" x14ac:dyDescent="0.25">
      <c r="A110" s="8" t="s">
        <v>205</v>
      </c>
      <c r="B110" s="9" t="s">
        <v>206</v>
      </c>
      <c r="C110" s="10" t="s">
        <v>18</v>
      </c>
      <c r="D110" s="10">
        <v>1</v>
      </c>
      <c r="E110" s="11">
        <f>VLOOKUP(B110, [1]PRECIOS_MATERIALES!$A:$C, 3, FALSE)</f>
        <v>131277</v>
      </c>
      <c r="F110" s="30">
        <f t="shared" si="2"/>
        <v>131277</v>
      </c>
      <c r="G110" s="37"/>
    </row>
    <row r="111" spans="1:7" x14ac:dyDescent="0.25">
      <c r="A111" s="8" t="s">
        <v>207</v>
      </c>
      <c r="B111" s="9" t="s">
        <v>208</v>
      </c>
      <c r="C111" s="10" t="s">
        <v>18</v>
      </c>
      <c r="D111" s="10">
        <v>2</v>
      </c>
      <c r="E111" s="11">
        <f>VLOOKUP(B111, [1]PRECIOS_MATERIALES!$A:$C, 3, FALSE)</f>
        <v>131277</v>
      </c>
      <c r="F111" s="30">
        <f t="shared" si="2"/>
        <v>262554</v>
      </c>
      <c r="G111" s="37"/>
    </row>
    <row r="112" spans="1:7" x14ac:dyDescent="0.25">
      <c r="A112" s="8" t="s">
        <v>209</v>
      </c>
      <c r="B112" s="9" t="s">
        <v>210</v>
      </c>
      <c r="C112" s="10" t="s">
        <v>18</v>
      </c>
      <c r="D112" s="10">
        <v>1</v>
      </c>
      <c r="E112" s="11">
        <f>VLOOKUP(B112, [1]PRECIOS_MATERIALES!$A:$C, 3, FALSE)</f>
        <v>126613</v>
      </c>
      <c r="F112" s="30">
        <f t="shared" si="2"/>
        <v>126613</v>
      </c>
      <c r="G112" s="37"/>
    </row>
    <row r="113" spans="1:7" x14ac:dyDescent="0.25">
      <c r="A113" s="8" t="s">
        <v>211</v>
      </c>
      <c r="B113" s="9" t="s">
        <v>212</v>
      </c>
      <c r="C113" s="10" t="s">
        <v>18</v>
      </c>
      <c r="D113" s="10">
        <v>8</v>
      </c>
      <c r="E113" s="11">
        <f>VLOOKUP(B113, [1]PRECIOS_MATERIALES!$A:$C, 3, FALSE)</f>
        <v>126613</v>
      </c>
      <c r="F113" s="30">
        <f t="shared" si="2"/>
        <v>1012904</v>
      </c>
      <c r="G113" s="37"/>
    </row>
    <row r="114" spans="1:7" x14ac:dyDescent="0.25">
      <c r="A114" s="8" t="s">
        <v>213</v>
      </c>
      <c r="B114" s="9" t="s">
        <v>214</v>
      </c>
      <c r="C114" s="10" t="s">
        <v>18</v>
      </c>
      <c r="D114" s="10">
        <v>1</v>
      </c>
      <c r="E114" s="11">
        <f>VLOOKUP(B114, [1]PRECIOS_MATERIALES!$A:$C, 3, FALSE)</f>
        <v>66844</v>
      </c>
      <c r="F114" s="30">
        <f t="shared" si="2"/>
        <v>66844</v>
      </c>
      <c r="G114" s="37"/>
    </row>
    <row r="115" spans="1:7" x14ac:dyDescent="0.25">
      <c r="A115" s="8" t="s">
        <v>215</v>
      </c>
      <c r="B115" s="9" t="s">
        <v>216</v>
      </c>
      <c r="C115" s="10" t="s">
        <v>18</v>
      </c>
      <c r="D115" s="10">
        <v>6</v>
      </c>
      <c r="E115" s="11">
        <f>VLOOKUP(B115, [1]PRECIOS_MATERIALES!$A:$C, 3, FALSE)</f>
        <v>66844</v>
      </c>
      <c r="F115" s="30">
        <f t="shared" si="2"/>
        <v>401064</v>
      </c>
      <c r="G115" s="37"/>
    </row>
    <row r="116" spans="1:7" x14ac:dyDescent="0.25">
      <c r="A116" s="12" t="s">
        <v>217</v>
      </c>
      <c r="B116" s="13" t="s">
        <v>133</v>
      </c>
      <c r="C116" s="10"/>
      <c r="D116" s="10"/>
      <c r="E116" s="11"/>
      <c r="F116" s="30">
        <f t="shared" si="2"/>
        <v>0</v>
      </c>
      <c r="G116" s="37" t="s">
        <v>713</v>
      </c>
    </row>
    <row r="117" spans="1:7" x14ac:dyDescent="0.25">
      <c r="A117" s="8" t="s">
        <v>218</v>
      </c>
      <c r="B117" s="9" t="s">
        <v>219</v>
      </c>
      <c r="C117" s="10" t="s">
        <v>18</v>
      </c>
      <c r="D117" s="10">
        <v>2</v>
      </c>
      <c r="E117" s="11">
        <f>VLOOKUP(B117, [1]PRECIOS_MATERIALES!$A:$C, 3, FALSE)</f>
        <v>362913</v>
      </c>
      <c r="F117" s="30">
        <f t="shared" si="2"/>
        <v>725826</v>
      </c>
      <c r="G117" s="37"/>
    </row>
    <row r="118" spans="1:7" x14ac:dyDescent="0.25">
      <c r="A118" s="8" t="s">
        <v>220</v>
      </c>
      <c r="B118" s="9" t="s">
        <v>221</v>
      </c>
      <c r="C118" s="10" t="s">
        <v>18</v>
      </c>
      <c r="D118" s="10">
        <v>8</v>
      </c>
      <c r="E118" s="11">
        <f>VLOOKUP(B118, [1]PRECIOS_MATERIALES!$A:$C, 3, FALSE)</f>
        <v>358369</v>
      </c>
      <c r="F118" s="30">
        <f t="shared" si="2"/>
        <v>2866952</v>
      </c>
      <c r="G118" s="37"/>
    </row>
    <row r="119" spans="1:7" x14ac:dyDescent="0.25">
      <c r="A119" s="8" t="s">
        <v>222</v>
      </c>
      <c r="B119" s="9" t="s">
        <v>223</v>
      </c>
      <c r="C119" s="10" t="s">
        <v>18</v>
      </c>
      <c r="D119" s="10">
        <v>6</v>
      </c>
      <c r="E119" s="11">
        <f>VLOOKUP(B119, [1]PRECIOS_MATERIALES!$A:$C, 3, FALSE)</f>
        <v>332998</v>
      </c>
      <c r="F119" s="30">
        <f t="shared" si="2"/>
        <v>1997988</v>
      </c>
      <c r="G119" s="37"/>
    </row>
    <row r="120" spans="1:7" x14ac:dyDescent="0.25">
      <c r="A120" s="8" t="s">
        <v>224</v>
      </c>
      <c r="B120" s="9" t="s">
        <v>225</v>
      </c>
      <c r="C120" s="10" t="s">
        <v>18</v>
      </c>
      <c r="D120" s="10">
        <v>8</v>
      </c>
      <c r="E120" s="11">
        <f>VLOOKUP(B120, [1]PRECIOS_MATERIALES!$A:$C, 3, FALSE)</f>
        <v>379247</v>
      </c>
      <c r="F120" s="30">
        <f t="shared" si="2"/>
        <v>3033976</v>
      </c>
      <c r="G120" s="37"/>
    </row>
    <row r="121" spans="1:7" x14ac:dyDescent="0.25">
      <c r="A121" s="8" t="s">
        <v>226</v>
      </c>
      <c r="B121" s="9" t="s">
        <v>227</v>
      </c>
      <c r="C121" s="10" t="s">
        <v>18</v>
      </c>
      <c r="D121" s="10">
        <v>3</v>
      </c>
      <c r="E121" s="11">
        <f>VLOOKUP(B121, [1]PRECIOS_MATERIALES!$A:$C, 3, FALSE)</f>
        <v>688034</v>
      </c>
      <c r="F121" s="30">
        <f t="shared" si="2"/>
        <v>2064102</v>
      </c>
      <c r="G121" s="37"/>
    </row>
    <row r="122" spans="1:7" x14ac:dyDescent="0.25">
      <c r="A122" s="8" t="s">
        <v>228</v>
      </c>
      <c r="B122" s="9" t="s">
        <v>229</v>
      </c>
      <c r="C122" s="10" t="s">
        <v>18</v>
      </c>
      <c r="D122" s="10">
        <v>2</v>
      </c>
      <c r="E122" s="11">
        <f>VLOOKUP(B122, [1]PRECIOS_MATERIALES!$A:$C, 3, FALSE)</f>
        <v>1491047</v>
      </c>
      <c r="F122" s="30">
        <f t="shared" si="2"/>
        <v>2982094</v>
      </c>
      <c r="G122" s="37"/>
    </row>
    <row r="123" spans="1:7" x14ac:dyDescent="0.25">
      <c r="A123" s="8" t="s">
        <v>230</v>
      </c>
      <c r="B123" s="9" t="s">
        <v>231</v>
      </c>
      <c r="C123" s="10" t="s">
        <v>18</v>
      </c>
      <c r="D123" s="10">
        <v>2</v>
      </c>
      <c r="E123" s="11">
        <f>VLOOKUP(B123, [1]PRECIOS_MATERIALES!$A:$C, 3, FALSE)</f>
        <v>1132015</v>
      </c>
      <c r="F123" s="30">
        <f t="shared" si="2"/>
        <v>2264030</v>
      </c>
      <c r="G123" s="37"/>
    </row>
    <row r="124" spans="1:7" x14ac:dyDescent="0.25">
      <c r="A124" s="8" t="s">
        <v>232</v>
      </c>
      <c r="B124" s="9" t="s">
        <v>233</v>
      </c>
      <c r="C124" s="10" t="s">
        <v>18</v>
      </c>
      <c r="D124" s="10">
        <v>1</v>
      </c>
      <c r="E124" s="11">
        <f>VLOOKUP(B124, [1]PRECIOS_MATERIALES!$A:$C, 3, FALSE)</f>
        <v>211596</v>
      </c>
      <c r="F124" s="30">
        <f t="shared" si="2"/>
        <v>211596</v>
      </c>
      <c r="G124" s="37"/>
    </row>
    <row r="125" spans="1:7" x14ac:dyDescent="0.25">
      <c r="A125" s="8" t="s">
        <v>234</v>
      </c>
      <c r="B125" s="9" t="s">
        <v>235</v>
      </c>
      <c r="C125" s="10" t="s">
        <v>18</v>
      </c>
      <c r="D125" s="10">
        <v>11</v>
      </c>
      <c r="E125" s="11">
        <f>VLOOKUP(B125, [1]PRECIOS_MATERIALES!$A:$C, 3, FALSE)</f>
        <v>376954</v>
      </c>
      <c r="F125" s="30">
        <f t="shared" si="2"/>
        <v>4146494</v>
      </c>
      <c r="G125" s="37"/>
    </row>
    <row r="126" spans="1:7" x14ac:dyDescent="0.25">
      <c r="A126" s="40" t="s">
        <v>236</v>
      </c>
      <c r="B126" s="41" t="s">
        <v>237</v>
      </c>
      <c r="C126" s="42" t="s">
        <v>18</v>
      </c>
      <c r="D126" s="42">
        <v>2</v>
      </c>
      <c r="E126" s="43"/>
      <c r="F126" s="44">
        <f t="shared" si="2"/>
        <v>0</v>
      </c>
      <c r="G126" s="39" t="s">
        <v>711</v>
      </c>
    </row>
    <row r="127" spans="1:7" x14ac:dyDescent="0.25">
      <c r="A127" s="8" t="s">
        <v>238</v>
      </c>
      <c r="B127" s="9" t="s">
        <v>239</v>
      </c>
      <c r="C127" s="10" t="s">
        <v>18</v>
      </c>
      <c r="D127" s="10">
        <v>8</v>
      </c>
      <c r="E127" s="11">
        <f>VLOOKUP(B127, [1]PRECIOS_MATERIALES!$A:$C, 3, FALSE)</f>
        <v>370560</v>
      </c>
      <c r="F127" s="30">
        <f t="shared" si="2"/>
        <v>2964480</v>
      </c>
      <c r="G127" s="37"/>
    </row>
    <row r="128" spans="1:7" x14ac:dyDescent="0.25">
      <c r="A128" s="8" t="s">
        <v>240</v>
      </c>
      <c r="B128" s="9" t="s">
        <v>241</v>
      </c>
      <c r="C128" s="10" t="s">
        <v>18</v>
      </c>
      <c r="D128" s="10">
        <v>6</v>
      </c>
      <c r="E128" s="11">
        <f>VLOOKUP(B128, [1]PRECIOS_MATERIALES!$A:$C, 3, FALSE)</f>
        <v>688034</v>
      </c>
      <c r="F128" s="30">
        <f t="shared" si="2"/>
        <v>4128204</v>
      </c>
      <c r="G128" s="37"/>
    </row>
    <row r="129" spans="1:7" x14ac:dyDescent="0.25">
      <c r="A129" s="12">
        <v>4</v>
      </c>
      <c r="B129" s="13" t="s">
        <v>242</v>
      </c>
      <c r="C129" s="10"/>
      <c r="D129" s="10"/>
      <c r="E129" s="11"/>
      <c r="F129" s="30">
        <f t="shared" si="2"/>
        <v>0</v>
      </c>
      <c r="G129" s="37" t="s">
        <v>713</v>
      </c>
    </row>
    <row r="130" spans="1:7" x14ac:dyDescent="0.25">
      <c r="A130" s="12" t="s">
        <v>243</v>
      </c>
      <c r="B130" s="13" t="s">
        <v>30</v>
      </c>
      <c r="C130" s="10"/>
      <c r="D130" s="10"/>
      <c r="E130" s="11"/>
      <c r="F130" s="30">
        <f t="shared" si="2"/>
        <v>0</v>
      </c>
      <c r="G130" s="37" t="s">
        <v>713</v>
      </c>
    </row>
    <row r="131" spans="1:7" x14ac:dyDescent="0.25">
      <c r="A131" s="8" t="s">
        <v>244</v>
      </c>
      <c r="B131" s="9" t="s">
        <v>32</v>
      </c>
      <c r="C131" s="10" t="s">
        <v>33</v>
      </c>
      <c r="D131" s="10">
        <v>207.40299999999999</v>
      </c>
      <c r="E131" s="11">
        <f>VLOOKUP(B131, [1]PRECIOS_MATERIALES!$A:$C, 3, FALSE)</f>
        <v>37777</v>
      </c>
      <c r="F131" s="30">
        <f t="shared" si="2"/>
        <v>7835063.1310000001</v>
      </c>
      <c r="G131" s="37"/>
    </row>
    <row r="132" spans="1:7" x14ac:dyDescent="0.25">
      <c r="A132" s="8" t="s">
        <v>245</v>
      </c>
      <c r="B132" s="9" t="s">
        <v>35</v>
      </c>
      <c r="C132" s="10" t="s">
        <v>33</v>
      </c>
      <c r="D132" s="10">
        <v>415.053</v>
      </c>
      <c r="E132" s="11">
        <f>VLOOKUP(B132, [1]PRECIOS_MATERIALES!$A:$C, 3, FALSE)</f>
        <v>28451</v>
      </c>
      <c r="F132" s="30">
        <f t="shared" si="2"/>
        <v>11808672.902999999</v>
      </c>
      <c r="G132" s="37"/>
    </row>
    <row r="133" spans="1:7" x14ac:dyDescent="0.25">
      <c r="A133" s="8" t="s">
        <v>246</v>
      </c>
      <c r="B133" s="9" t="s">
        <v>45</v>
      </c>
      <c r="C133" s="10" t="s">
        <v>18</v>
      </c>
      <c r="D133" s="10">
        <v>10</v>
      </c>
      <c r="E133" s="11">
        <f>VLOOKUP(B133, [1]PRECIOS_MATERIALES!$A:$C, 3, FALSE)</f>
        <v>15461</v>
      </c>
      <c r="F133" s="30">
        <f t="shared" si="2"/>
        <v>154610</v>
      </c>
      <c r="G133" s="37"/>
    </row>
    <row r="134" spans="1:7" x14ac:dyDescent="0.25">
      <c r="A134" s="8" t="s">
        <v>247</v>
      </c>
      <c r="B134" s="9" t="s">
        <v>47</v>
      </c>
      <c r="C134" s="10" t="s">
        <v>18</v>
      </c>
      <c r="D134" s="10">
        <v>1</v>
      </c>
      <c r="E134" s="11">
        <f>VLOOKUP(B134, [1]PRECIOS_MATERIALES!$A:$C, 3, FALSE)</f>
        <v>10856</v>
      </c>
      <c r="F134" s="30">
        <f t="shared" si="2"/>
        <v>10856</v>
      </c>
      <c r="G134" s="37"/>
    </row>
    <row r="135" spans="1:7" x14ac:dyDescent="0.25">
      <c r="A135" s="8" t="s">
        <v>248</v>
      </c>
      <c r="B135" s="9" t="s">
        <v>249</v>
      </c>
      <c r="C135" s="10" t="s">
        <v>18</v>
      </c>
      <c r="D135" s="10">
        <v>1</v>
      </c>
      <c r="E135" s="11">
        <f>VLOOKUP(B135, [1]PRECIOS_MATERIALES!$A:$C, 3, FALSE)</f>
        <v>12844</v>
      </c>
      <c r="F135" s="30">
        <f t="shared" si="2"/>
        <v>12844</v>
      </c>
      <c r="G135" s="37"/>
    </row>
    <row r="136" spans="1:7" x14ac:dyDescent="0.25">
      <c r="A136" s="8" t="s">
        <v>250</v>
      </c>
      <c r="B136" s="9" t="s">
        <v>77</v>
      </c>
      <c r="C136" s="10" t="s">
        <v>18</v>
      </c>
      <c r="D136" s="10">
        <v>3</v>
      </c>
      <c r="E136" s="11">
        <f>VLOOKUP(B136, [1]PRECIOS_MATERIALES!$A:$C, 3, FALSE)</f>
        <v>5306</v>
      </c>
      <c r="F136" s="30">
        <f t="shared" si="2"/>
        <v>15918</v>
      </c>
      <c r="G136" s="37"/>
    </row>
    <row r="137" spans="1:7" x14ac:dyDescent="0.25">
      <c r="A137" s="8" t="s">
        <v>251</v>
      </c>
      <c r="B137" s="9" t="s">
        <v>252</v>
      </c>
      <c r="C137" s="10" t="s">
        <v>18</v>
      </c>
      <c r="D137" s="10">
        <v>11</v>
      </c>
      <c r="E137" s="11">
        <f>VLOOKUP(B137, [1]PRECIOS_MATERIALES!$A:$C, 3, FALSE)</f>
        <v>10795</v>
      </c>
      <c r="F137" s="30">
        <f t="shared" si="2"/>
        <v>118745</v>
      </c>
      <c r="G137" s="37"/>
    </row>
    <row r="138" spans="1:7" x14ac:dyDescent="0.25">
      <c r="A138" s="8" t="s">
        <v>253</v>
      </c>
      <c r="B138" s="9" t="s">
        <v>254</v>
      </c>
      <c r="C138" s="10" t="s">
        <v>18</v>
      </c>
      <c r="D138" s="10">
        <v>7</v>
      </c>
      <c r="E138" s="11">
        <f>VLOOKUP(B138, [1]PRECIOS_MATERIALES!$A:$C, 3, FALSE)</f>
        <v>10795</v>
      </c>
      <c r="F138" s="30">
        <f t="shared" si="2"/>
        <v>75565</v>
      </c>
      <c r="G138" s="37"/>
    </row>
    <row r="139" spans="1:7" x14ac:dyDescent="0.25">
      <c r="A139" s="8" t="s">
        <v>255</v>
      </c>
      <c r="B139" s="9" t="s">
        <v>256</v>
      </c>
      <c r="C139" s="10" t="s">
        <v>18</v>
      </c>
      <c r="D139" s="10">
        <v>23</v>
      </c>
      <c r="E139" s="11">
        <f>VLOOKUP(B139, [1]PRECIOS_MATERIALES!$A:$C, 3, FALSE)</f>
        <v>7380</v>
      </c>
      <c r="F139" s="30">
        <f t="shared" si="2"/>
        <v>169740</v>
      </c>
      <c r="G139" s="37"/>
    </row>
    <row r="140" spans="1:7" x14ac:dyDescent="0.25">
      <c r="A140" s="8" t="s">
        <v>257</v>
      </c>
      <c r="B140" s="9" t="s">
        <v>258</v>
      </c>
      <c r="C140" s="10" t="s">
        <v>18</v>
      </c>
      <c r="D140" s="10">
        <v>19</v>
      </c>
      <c r="E140" s="11">
        <f>VLOOKUP(B140, [1]PRECIOS_MATERIALES!$A:$C, 3, FALSE)</f>
        <v>6831</v>
      </c>
      <c r="F140" s="30">
        <f t="shared" si="2"/>
        <v>129789</v>
      </c>
      <c r="G140" s="37"/>
    </row>
    <row r="141" spans="1:7" x14ac:dyDescent="0.25">
      <c r="A141" s="8" t="s">
        <v>259</v>
      </c>
      <c r="B141" s="9" t="s">
        <v>101</v>
      </c>
      <c r="C141" s="10" t="s">
        <v>18</v>
      </c>
      <c r="D141" s="10">
        <v>55.066000000000003</v>
      </c>
      <c r="E141" s="11">
        <f>VLOOKUP(B141, [1]PRECIOS_MATERIALES!$A:$C, 3, FALSE)</f>
        <v>6709</v>
      </c>
      <c r="F141" s="30">
        <f t="shared" ref="F141:F204" si="3">D141*E141</f>
        <v>369437.79399999999</v>
      </c>
      <c r="G141" s="37"/>
    </row>
    <row r="142" spans="1:7" x14ac:dyDescent="0.25">
      <c r="A142" s="8" t="s">
        <v>260</v>
      </c>
      <c r="B142" s="9" t="s">
        <v>105</v>
      </c>
      <c r="C142" s="10" t="s">
        <v>18</v>
      </c>
      <c r="D142" s="10">
        <v>143.33949999999999</v>
      </c>
      <c r="E142" s="11">
        <f>VLOOKUP(B142, [1]PRECIOS_MATERIALES!$A:$C, 3, FALSE)</f>
        <v>6312</v>
      </c>
      <c r="F142" s="30">
        <f t="shared" si="3"/>
        <v>904758.92399999988</v>
      </c>
      <c r="G142" s="37"/>
    </row>
    <row r="143" spans="1:7" x14ac:dyDescent="0.25">
      <c r="A143" s="8" t="s">
        <v>261</v>
      </c>
      <c r="B143" s="9" t="s">
        <v>103</v>
      </c>
      <c r="C143" s="10" t="s">
        <v>18</v>
      </c>
      <c r="D143" s="10">
        <v>66</v>
      </c>
      <c r="E143" s="11">
        <f>VLOOKUP(B143, [1]PRECIOS_MATERIALES!$A:$C, 3, FALSE)</f>
        <v>7959</v>
      </c>
      <c r="F143" s="30">
        <f t="shared" si="3"/>
        <v>525294</v>
      </c>
      <c r="G143" s="37"/>
    </row>
    <row r="144" spans="1:7" x14ac:dyDescent="0.25">
      <c r="A144" s="8" t="s">
        <v>262</v>
      </c>
      <c r="B144" s="9" t="s">
        <v>107</v>
      </c>
      <c r="C144" s="10" t="s">
        <v>18</v>
      </c>
      <c r="D144" s="10">
        <v>84</v>
      </c>
      <c r="E144" s="11">
        <f>VLOOKUP(B144, [1]PRECIOS_MATERIALES!$A:$C, 3, FALSE)</f>
        <v>6892</v>
      </c>
      <c r="F144" s="30">
        <f t="shared" si="3"/>
        <v>578928</v>
      </c>
      <c r="G144" s="37"/>
    </row>
    <row r="145" spans="1:7" x14ac:dyDescent="0.25">
      <c r="A145" s="12" t="s">
        <v>263</v>
      </c>
      <c r="B145" s="13" t="s">
        <v>111</v>
      </c>
      <c r="C145" s="10"/>
      <c r="D145" s="10"/>
      <c r="E145" s="11"/>
      <c r="F145" s="30">
        <f t="shared" si="3"/>
        <v>0</v>
      </c>
      <c r="G145" s="37" t="s">
        <v>713</v>
      </c>
    </row>
    <row r="146" spans="1:7" x14ac:dyDescent="0.25">
      <c r="A146" s="8" t="s">
        <v>264</v>
      </c>
      <c r="B146" s="9" t="s">
        <v>113</v>
      </c>
      <c r="C146" s="10" t="s">
        <v>18</v>
      </c>
      <c r="D146" s="10">
        <v>1</v>
      </c>
      <c r="E146" s="11">
        <f>VLOOKUP(B146, [1]PRECIOS_MATERIALES!$A:$C, 3, FALSE)</f>
        <v>945</v>
      </c>
      <c r="F146" s="30">
        <f t="shared" si="3"/>
        <v>945</v>
      </c>
      <c r="G146" s="37"/>
    </row>
    <row r="147" spans="1:7" x14ac:dyDescent="0.25">
      <c r="A147" s="8" t="s">
        <v>265</v>
      </c>
      <c r="B147" s="9" t="s">
        <v>115</v>
      </c>
      <c r="C147" s="10" t="s">
        <v>18</v>
      </c>
      <c r="D147" s="10">
        <v>1</v>
      </c>
      <c r="E147" s="11">
        <f>VLOOKUP(B147, [1]PRECIOS_MATERIALES!$A:$C, 3, FALSE)</f>
        <v>823</v>
      </c>
      <c r="F147" s="30">
        <f t="shared" si="3"/>
        <v>823</v>
      </c>
      <c r="G147" s="37"/>
    </row>
    <row r="148" spans="1:7" x14ac:dyDescent="0.25">
      <c r="A148" s="8" t="s">
        <v>266</v>
      </c>
      <c r="B148" s="9" t="s">
        <v>125</v>
      </c>
      <c r="C148" s="10" t="s">
        <v>18</v>
      </c>
      <c r="D148" s="10">
        <v>35</v>
      </c>
      <c r="E148" s="11">
        <f>VLOOKUP(B148, [1]PRECIOS_MATERIALES!$A:$C, 3, FALSE)</f>
        <v>126613</v>
      </c>
      <c r="F148" s="30">
        <f t="shared" si="3"/>
        <v>4431455</v>
      </c>
      <c r="G148" s="37"/>
    </row>
    <row r="149" spans="1:7" x14ac:dyDescent="0.25">
      <c r="A149" s="8" t="s">
        <v>267</v>
      </c>
      <c r="B149" s="9" t="s">
        <v>127</v>
      </c>
      <c r="C149" s="10" t="s">
        <v>18</v>
      </c>
      <c r="D149" s="10">
        <v>41</v>
      </c>
      <c r="E149" s="11">
        <f>VLOOKUP(B149, [1]PRECIOS_MATERIALES!$A:$C, 3, FALSE)</f>
        <v>126613</v>
      </c>
      <c r="F149" s="30">
        <f t="shared" si="3"/>
        <v>5191133</v>
      </c>
      <c r="G149" s="37"/>
    </row>
    <row r="150" spans="1:7" x14ac:dyDescent="0.25">
      <c r="A150" s="8" t="s">
        <v>268</v>
      </c>
      <c r="B150" s="9" t="s">
        <v>129</v>
      </c>
      <c r="C150" s="10" t="s">
        <v>18</v>
      </c>
      <c r="D150" s="10">
        <v>48</v>
      </c>
      <c r="E150" s="11">
        <f>VLOOKUP(B150, [1]PRECIOS_MATERIALES!$A:$C, 3, FALSE)</f>
        <v>66844</v>
      </c>
      <c r="F150" s="30">
        <f t="shared" si="3"/>
        <v>3208512</v>
      </c>
      <c r="G150" s="37"/>
    </row>
    <row r="151" spans="1:7" x14ac:dyDescent="0.25">
      <c r="A151" s="8" t="s">
        <v>269</v>
      </c>
      <c r="B151" s="9" t="s">
        <v>131</v>
      </c>
      <c r="C151" s="10" t="s">
        <v>18</v>
      </c>
      <c r="D151" s="10">
        <v>56</v>
      </c>
      <c r="E151" s="11">
        <f>VLOOKUP(B151, [1]PRECIOS_MATERIALES!$A:$C, 3, FALSE)</f>
        <v>66844</v>
      </c>
      <c r="F151" s="30">
        <f t="shared" si="3"/>
        <v>3743264</v>
      </c>
      <c r="G151" s="37"/>
    </row>
    <row r="152" spans="1:7" x14ac:dyDescent="0.25">
      <c r="A152" s="12" t="s">
        <v>270</v>
      </c>
      <c r="B152" s="13" t="s">
        <v>133</v>
      </c>
      <c r="C152" s="10"/>
      <c r="D152" s="10"/>
      <c r="E152" s="11"/>
      <c r="F152" s="30">
        <f t="shared" si="3"/>
        <v>0</v>
      </c>
      <c r="G152" s="37" t="s">
        <v>713</v>
      </c>
    </row>
    <row r="153" spans="1:7" x14ac:dyDescent="0.25">
      <c r="A153" s="8" t="s">
        <v>271</v>
      </c>
      <c r="B153" s="9" t="s">
        <v>272</v>
      </c>
      <c r="C153" s="10" t="s">
        <v>18</v>
      </c>
      <c r="D153" s="10">
        <v>27</v>
      </c>
      <c r="E153" s="11">
        <f>VLOOKUP(B153, [1]PRECIOS_MATERIALES!$A:$C, 3, FALSE)</f>
        <v>471687</v>
      </c>
      <c r="F153" s="30">
        <f t="shared" si="3"/>
        <v>12735549</v>
      </c>
      <c r="G153" s="37"/>
    </row>
    <row r="154" spans="1:7" x14ac:dyDescent="0.25">
      <c r="A154" s="8" t="s">
        <v>273</v>
      </c>
      <c r="B154" s="9" t="s">
        <v>274</v>
      </c>
      <c r="C154" s="10" t="s">
        <v>18</v>
      </c>
      <c r="D154" s="10">
        <v>27</v>
      </c>
      <c r="E154" s="11">
        <f>VLOOKUP(B154, [1]PRECIOS_MATERIALES!$A:$C, 3, FALSE)</f>
        <v>308156</v>
      </c>
      <c r="F154" s="30">
        <f t="shared" si="3"/>
        <v>8320212</v>
      </c>
      <c r="G154" s="37"/>
    </row>
    <row r="155" spans="1:7" x14ac:dyDescent="0.25">
      <c r="A155" s="8" t="s">
        <v>275</v>
      </c>
      <c r="B155" s="9" t="s">
        <v>276</v>
      </c>
      <c r="C155" s="10" t="s">
        <v>18</v>
      </c>
      <c r="D155" s="10">
        <v>27</v>
      </c>
      <c r="E155" s="11">
        <f>VLOOKUP(B155, [1]PRECIOS_MATERIALES!$A:$C, 3, FALSE)</f>
        <v>94825</v>
      </c>
      <c r="F155" s="30">
        <f t="shared" si="3"/>
        <v>2560275</v>
      </c>
      <c r="G155" s="37"/>
    </row>
    <row r="156" spans="1:7" x14ac:dyDescent="0.25">
      <c r="A156" s="12" t="s">
        <v>277</v>
      </c>
      <c r="B156" s="13" t="s">
        <v>278</v>
      </c>
      <c r="C156" s="10"/>
      <c r="D156" s="10"/>
      <c r="E156" s="11"/>
      <c r="F156" s="30">
        <f t="shared" si="3"/>
        <v>0</v>
      </c>
      <c r="G156" s="37" t="s">
        <v>713</v>
      </c>
    </row>
    <row r="157" spans="1:7" x14ac:dyDescent="0.25">
      <c r="A157" s="8" t="s">
        <v>279</v>
      </c>
      <c r="B157" s="9" t="s">
        <v>280</v>
      </c>
      <c r="C157" s="10" t="s">
        <v>18</v>
      </c>
      <c r="D157" s="10">
        <v>27</v>
      </c>
      <c r="E157" s="11">
        <f>VLOOKUP(B157, [1]PRECIOS_MATERIALES!$A:$C, 3, FALSE)</f>
        <v>1667216</v>
      </c>
      <c r="F157" s="30">
        <f t="shared" si="3"/>
        <v>45014832</v>
      </c>
      <c r="G157" s="37"/>
    </row>
    <row r="158" spans="1:7" x14ac:dyDescent="0.25">
      <c r="A158" s="8" t="s">
        <v>281</v>
      </c>
      <c r="B158" s="9" t="s">
        <v>282</v>
      </c>
      <c r="C158" s="10" t="s">
        <v>18</v>
      </c>
      <c r="D158" s="10">
        <v>27</v>
      </c>
      <c r="E158" s="11">
        <f>VLOOKUP(B158, [1]PRECIOS_MATERIALES!$A:$C, 3, FALSE)</f>
        <v>49303</v>
      </c>
      <c r="F158" s="30">
        <f t="shared" si="3"/>
        <v>1331181</v>
      </c>
      <c r="G158" s="37"/>
    </row>
    <row r="159" spans="1:7" x14ac:dyDescent="0.25">
      <c r="A159" s="12">
        <v>5</v>
      </c>
      <c r="B159" s="13" t="s">
        <v>283</v>
      </c>
      <c r="C159" s="10"/>
      <c r="D159" s="10"/>
      <c r="E159" s="11"/>
      <c r="F159" s="30">
        <f t="shared" si="3"/>
        <v>0</v>
      </c>
      <c r="G159" s="37" t="s">
        <v>713</v>
      </c>
    </row>
    <row r="160" spans="1:7" x14ac:dyDescent="0.25">
      <c r="A160" s="12" t="s">
        <v>284</v>
      </c>
      <c r="B160" s="13" t="s">
        <v>285</v>
      </c>
      <c r="C160" s="10"/>
      <c r="D160" s="10"/>
      <c r="E160" s="11"/>
      <c r="F160" s="30">
        <f t="shared" si="3"/>
        <v>0</v>
      </c>
      <c r="G160" s="37" t="s">
        <v>713</v>
      </c>
    </row>
    <row r="161" spans="1:7" x14ac:dyDescent="0.25">
      <c r="A161" s="8" t="s">
        <v>286</v>
      </c>
      <c r="B161" s="9" t="s">
        <v>287</v>
      </c>
      <c r="C161" s="10" t="s">
        <v>18</v>
      </c>
      <c r="D161" s="10">
        <v>1</v>
      </c>
      <c r="E161" s="11">
        <f>VLOOKUP(B161, [1]PRECIOS_MATERIALES!$A:$C, 3, FALSE)</f>
        <v>107510730</v>
      </c>
      <c r="F161" s="30">
        <f t="shared" si="3"/>
        <v>107510730</v>
      </c>
      <c r="G161" s="37"/>
    </row>
    <row r="162" spans="1:7" x14ac:dyDescent="0.25">
      <c r="A162" s="12" t="s">
        <v>288</v>
      </c>
      <c r="B162" s="13" t="s">
        <v>15</v>
      </c>
      <c r="C162" s="10"/>
      <c r="D162" s="10"/>
      <c r="E162" s="11"/>
      <c r="F162" s="30">
        <f t="shared" si="3"/>
        <v>0</v>
      </c>
      <c r="G162" s="37" t="s">
        <v>713</v>
      </c>
    </row>
    <row r="163" spans="1:7" x14ac:dyDescent="0.25">
      <c r="A163" s="8" t="s">
        <v>289</v>
      </c>
      <c r="B163" s="9" t="s">
        <v>290</v>
      </c>
      <c r="C163" s="10" t="s">
        <v>18</v>
      </c>
      <c r="D163" s="10">
        <v>6</v>
      </c>
      <c r="E163" s="11">
        <f>VLOOKUP(B163, [1]PRECIOS_MATERIALES!$A:$C, 3, FALSE)</f>
        <v>158570</v>
      </c>
      <c r="F163" s="30">
        <f t="shared" si="3"/>
        <v>951420</v>
      </c>
      <c r="G163" s="37"/>
    </row>
    <row r="164" spans="1:7" x14ac:dyDescent="0.25">
      <c r="A164" s="8" t="s">
        <v>291</v>
      </c>
      <c r="B164" s="9" t="s">
        <v>28</v>
      </c>
      <c r="C164" s="10" t="s">
        <v>18</v>
      </c>
      <c r="D164" s="10">
        <v>1</v>
      </c>
      <c r="E164" s="11">
        <f>VLOOKUP(B164, [1]PRECIOS_MATERIALES!$A:$C, 3, FALSE)</f>
        <v>173793</v>
      </c>
      <c r="F164" s="30">
        <f t="shared" si="3"/>
        <v>173793</v>
      </c>
      <c r="G164" s="37"/>
    </row>
    <row r="165" spans="1:7" x14ac:dyDescent="0.25">
      <c r="A165" s="12" t="s">
        <v>292</v>
      </c>
      <c r="B165" s="13" t="s">
        <v>30</v>
      </c>
      <c r="C165" s="10"/>
      <c r="D165" s="10"/>
      <c r="E165" s="11"/>
      <c r="F165" s="30">
        <f t="shared" si="3"/>
        <v>0</v>
      </c>
      <c r="G165" s="37" t="s">
        <v>713</v>
      </c>
    </row>
    <row r="166" spans="1:7" x14ac:dyDescent="0.25">
      <c r="A166" s="8" t="s">
        <v>293</v>
      </c>
      <c r="B166" s="9" t="s">
        <v>141</v>
      </c>
      <c r="C166" s="10" t="s">
        <v>33</v>
      </c>
      <c r="D166" s="10">
        <v>27.274000000000001</v>
      </c>
      <c r="E166" s="11">
        <f>VLOOKUP(B166, [1]PRECIOS_MATERIALES!$A:$C, 3, FALSE)</f>
        <v>47144</v>
      </c>
      <c r="F166" s="30">
        <f t="shared" si="3"/>
        <v>1285805.456</v>
      </c>
      <c r="G166" s="37"/>
    </row>
    <row r="167" spans="1:7" x14ac:dyDescent="0.25">
      <c r="A167" s="8" t="s">
        <v>294</v>
      </c>
      <c r="B167" s="9" t="s">
        <v>143</v>
      </c>
      <c r="C167" s="10" t="s">
        <v>33</v>
      </c>
      <c r="D167" s="10">
        <v>1.4630000000000001</v>
      </c>
      <c r="E167" s="11">
        <f>VLOOKUP(B167, [1]PRECIOS_MATERIALES!$A:$C, 3, FALSE)</f>
        <v>22169</v>
      </c>
      <c r="F167" s="30">
        <f t="shared" si="3"/>
        <v>32433.247000000003</v>
      </c>
      <c r="G167" s="37"/>
    </row>
    <row r="168" spans="1:7" x14ac:dyDescent="0.25">
      <c r="A168" s="8" t="s">
        <v>295</v>
      </c>
      <c r="B168" s="9" t="s">
        <v>37</v>
      </c>
      <c r="C168" s="10" t="s">
        <v>33</v>
      </c>
      <c r="D168" s="10">
        <v>24.081</v>
      </c>
      <c r="E168" s="11">
        <f>VLOOKUP(B168, [1]PRECIOS_MATERIALES!$A:$C, 3, FALSE)</f>
        <v>17092</v>
      </c>
      <c r="F168" s="30">
        <f t="shared" si="3"/>
        <v>411592.45199999999</v>
      </c>
      <c r="G168" s="37"/>
    </row>
    <row r="169" spans="1:7" x14ac:dyDescent="0.25">
      <c r="A169" s="8" t="s">
        <v>296</v>
      </c>
      <c r="B169" s="9" t="s">
        <v>149</v>
      </c>
      <c r="C169" s="10" t="s">
        <v>33</v>
      </c>
      <c r="D169" s="10">
        <v>33.081000000000003</v>
      </c>
      <c r="E169" s="11">
        <f>VLOOKUP(B169, [1]PRECIOS_MATERIALES!$A:$C, 3, FALSE)</f>
        <v>4608</v>
      </c>
      <c r="F169" s="30">
        <f t="shared" si="3"/>
        <v>152437.24800000002</v>
      </c>
      <c r="G169" s="37"/>
    </row>
    <row r="170" spans="1:7" x14ac:dyDescent="0.25">
      <c r="A170" s="8" t="s">
        <v>297</v>
      </c>
      <c r="B170" s="9" t="s">
        <v>298</v>
      </c>
      <c r="C170" s="10" t="s">
        <v>18</v>
      </c>
      <c r="D170" s="10">
        <v>1</v>
      </c>
      <c r="E170" s="11">
        <f>VLOOKUP(B170, [1]PRECIOS_MATERIALES!$A:$C, 3, FALSE)</f>
        <v>135771</v>
      </c>
      <c r="F170" s="30">
        <f t="shared" si="3"/>
        <v>135771</v>
      </c>
      <c r="G170" s="37"/>
    </row>
    <row r="171" spans="1:7" x14ac:dyDescent="0.25">
      <c r="A171" s="8" t="s">
        <v>299</v>
      </c>
      <c r="B171" s="9" t="s">
        <v>300</v>
      </c>
      <c r="C171" s="10" t="s">
        <v>18</v>
      </c>
      <c r="D171" s="10">
        <v>1</v>
      </c>
      <c r="E171" s="11">
        <f>VLOOKUP(B171, [1]PRECIOS_MATERIALES!$A:$C, 3, FALSE)</f>
        <v>27208</v>
      </c>
      <c r="F171" s="30">
        <f t="shared" si="3"/>
        <v>27208</v>
      </c>
      <c r="G171" s="37"/>
    </row>
    <row r="172" spans="1:7" x14ac:dyDescent="0.25">
      <c r="A172" s="8" t="s">
        <v>301</v>
      </c>
      <c r="B172" s="9" t="s">
        <v>302</v>
      </c>
      <c r="C172" s="10" t="s">
        <v>18</v>
      </c>
      <c r="D172" s="10">
        <v>1</v>
      </c>
      <c r="E172" s="11">
        <f>VLOOKUP(B172, [1]PRECIOS_MATERIALES!$A:$C, 3, FALSE)</f>
        <v>41047</v>
      </c>
      <c r="F172" s="30">
        <f t="shared" si="3"/>
        <v>41047</v>
      </c>
      <c r="G172" s="37"/>
    </row>
    <row r="173" spans="1:7" x14ac:dyDescent="0.25">
      <c r="A173" s="8" t="s">
        <v>303</v>
      </c>
      <c r="B173" s="9" t="s">
        <v>304</v>
      </c>
      <c r="C173" s="10" t="s">
        <v>18</v>
      </c>
      <c r="D173" s="10">
        <v>1</v>
      </c>
      <c r="E173" s="11">
        <f>VLOOKUP(B173, [1]PRECIOS_MATERIALES!$A:$C, 3, FALSE)</f>
        <v>6292</v>
      </c>
      <c r="F173" s="30">
        <f t="shared" si="3"/>
        <v>6292</v>
      </c>
      <c r="G173" s="37"/>
    </row>
    <row r="174" spans="1:7" x14ac:dyDescent="0.25">
      <c r="A174" s="8" t="s">
        <v>305</v>
      </c>
      <c r="B174" s="9" t="s">
        <v>306</v>
      </c>
      <c r="C174" s="10" t="s">
        <v>18</v>
      </c>
      <c r="D174" s="10">
        <v>1</v>
      </c>
      <c r="E174" s="11">
        <f>VLOOKUP(B174, [1]PRECIOS_MATERIALES!$A:$C, 3, FALSE)</f>
        <v>4757</v>
      </c>
      <c r="F174" s="30">
        <f t="shared" si="3"/>
        <v>4757</v>
      </c>
      <c r="G174" s="37"/>
    </row>
    <row r="175" spans="1:7" x14ac:dyDescent="0.25">
      <c r="A175" s="8" t="s">
        <v>307</v>
      </c>
      <c r="B175" s="9" t="s">
        <v>162</v>
      </c>
      <c r="C175" s="10" t="s">
        <v>18</v>
      </c>
      <c r="D175" s="10">
        <v>12</v>
      </c>
      <c r="E175" s="11">
        <f>VLOOKUP(B175, [1]PRECIOS_MATERIALES!$A:$C, 3, FALSE)</f>
        <v>121971</v>
      </c>
      <c r="F175" s="30">
        <f t="shared" si="3"/>
        <v>1463652</v>
      </c>
      <c r="G175" s="37"/>
    </row>
    <row r="176" spans="1:7" x14ac:dyDescent="0.25">
      <c r="A176" s="8" t="s">
        <v>308</v>
      </c>
      <c r="B176" s="9" t="s">
        <v>169</v>
      </c>
      <c r="C176" s="10" t="s">
        <v>18</v>
      </c>
      <c r="D176" s="10">
        <v>9</v>
      </c>
      <c r="E176" s="11">
        <f>VLOOKUP(B176, [1]PRECIOS_MATERIALES!$A:$C, 3, FALSE)</f>
        <v>15210</v>
      </c>
      <c r="F176" s="30">
        <f t="shared" si="3"/>
        <v>136890</v>
      </c>
      <c r="G176" s="37"/>
    </row>
    <row r="177" spans="1:7" x14ac:dyDescent="0.25">
      <c r="A177" s="8" t="s">
        <v>309</v>
      </c>
      <c r="B177" s="9" t="s">
        <v>310</v>
      </c>
      <c r="C177" s="10" t="s">
        <v>18</v>
      </c>
      <c r="D177" s="10">
        <v>1</v>
      </c>
      <c r="E177" s="11">
        <f>VLOOKUP(B177, [1]PRECIOS_MATERIALES!$A:$C, 3, FALSE)</f>
        <v>39643</v>
      </c>
      <c r="F177" s="30">
        <f t="shared" si="3"/>
        <v>39643</v>
      </c>
      <c r="G177" s="37"/>
    </row>
    <row r="178" spans="1:7" x14ac:dyDescent="0.25">
      <c r="A178" s="8" t="s">
        <v>311</v>
      </c>
      <c r="B178" s="9" t="s">
        <v>99</v>
      </c>
      <c r="C178" s="10" t="s">
        <v>18</v>
      </c>
      <c r="D178" s="10">
        <v>1</v>
      </c>
      <c r="E178" s="11">
        <f>VLOOKUP(B178, [1]PRECIOS_MATERIALES!$A:$C, 3, FALSE)</f>
        <v>2013</v>
      </c>
      <c r="F178" s="30">
        <f t="shared" si="3"/>
        <v>2013</v>
      </c>
      <c r="G178" s="37"/>
    </row>
    <row r="179" spans="1:7" x14ac:dyDescent="0.25">
      <c r="A179" s="8" t="s">
        <v>312</v>
      </c>
      <c r="B179" s="9" t="s">
        <v>313</v>
      </c>
      <c r="C179" s="10" t="s">
        <v>18</v>
      </c>
      <c r="D179" s="10">
        <v>1</v>
      </c>
      <c r="E179" s="11">
        <f>VLOOKUP(B179, [1]PRECIOS_MATERIALES!$A:$C, 3, FALSE)</f>
        <v>2220</v>
      </c>
      <c r="F179" s="30">
        <f t="shared" si="3"/>
        <v>2220</v>
      </c>
      <c r="G179" s="37"/>
    </row>
    <row r="180" spans="1:7" x14ac:dyDescent="0.25">
      <c r="A180" s="8" t="s">
        <v>314</v>
      </c>
      <c r="B180" s="9" t="s">
        <v>175</v>
      </c>
      <c r="C180" s="10" t="s">
        <v>18</v>
      </c>
      <c r="D180" s="10">
        <v>46</v>
      </c>
      <c r="E180" s="11">
        <f>VLOOKUP(B180, [1]PRECIOS_MATERIALES!$A:$C, 3, FALSE)</f>
        <v>22871</v>
      </c>
      <c r="F180" s="30">
        <f t="shared" si="3"/>
        <v>1052066</v>
      </c>
      <c r="G180" s="37"/>
    </row>
    <row r="181" spans="1:7" x14ac:dyDescent="0.25">
      <c r="A181" s="8" t="s">
        <v>315</v>
      </c>
      <c r="B181" s="9" t="s">
        <v>177</v>
      </c>
      <c r="C181" s="10" t="s">
        <v>18</v>
      </c>
      <c r="D181" s="10">
        <v>4</v>
      </c>
      <c r="E181" s="11">
        <f>VLOOKUP(B181, [1]PRECIOS_MATERIALES!$A:$C, 3, FALSE)</f>
        <v>12625</v>
      </c>
      <c r="F181" s="30">
        <f t="shared" si="3"/>
        <v>50500</v>
      </c>
      <c r="G181" s="37"/>
    </row>
    <row r="182" spans="1:7" x14ac:dyDescent="0.25">
      <c r="A182" s="8" t="s">
        <v>316</v>
      </c>
      <c r="B182" s="9" t="s">
        <v>317</v>
      </c>
      <c r="C182" s="10" t="s">
        <v>18</v>
      </c>
      <c r="D182" s="10">
        <v>13</v>
      </c>
      <c r="E182" s="11">
        <f>VLOOKUP(B182, [1]PRECIOS_MATERIALES!$A:$C, 3, FALSE)</f>
        <v>10634</v>
      </c>
      <c r="F182" s="30">
        <f t="shared" si="3"/>
        <v>138242</v>
      </c>
      <c r="G182" s="37"/>
    </row>
    <row r="183" spans="1:7" x14ac:dyDescent="0.25">
      <c r="A183" s="8" t="s">
        <v>318</v>
      </c>
      <c r="B183" s="9" t="s">
        <v>319</v>
      </c>
      <c r="C183" s="10" t="s">
        <v>18</v>
      </c>
      <c r="D183" s="10">
        <v>6</v>
      </c>
      <c r="E183" s="11">
        <f>VLOOKUP(B183, [1]PRECIOS_MATERIALES!$A:$C, 3, FALSE)</f>
        <v>76859</v>
      </c>
      <c r="F183" s="30">
        <f t="shared" si="3"/>
        <v>461154</v>
      </c>
      <c r="G183" s="37"/>
    </row>
    <row r="184" spans="1:7" x14ac:dyDescent="0.25">
      <c r="A184" s="8" t="s">
        <v>320</v>
      </c>
      <c r="B184" s="9" t="s">
        <v>321</v>
      </c>
      <c r="C184" s="10" t="s">
        <v>18</v>
      </c>
      <c r="D184" s="10">
        <v>4</v>
      </c>
      <c r="E184" s="11">
        <f>VLOOKUP(B184, [1]PRECIOS_MATERIALES!$A:$C, 3, FALSE)</f>
        <v>55500</v>
      </c>
      <c r="F184" s="30">
        <f t="shared" si="3"/>
        <v>222000</v>
      </c>
      <c r="G184" s="37"/>
    </row>
    <row r="185" spans="1:7" x14ac:dyDescent="0.25">
      <c r="A185" s="12" t="s">
        <v>322</v>
      </c>
      <c r="B185" s="13" t="s">
        <v>111</v>
      </c>
      <c r="C185" s="10"/>
      <c r="D185" s="10"/>
      <c r="E185" s="11"/>
      <c r="F185" s="30">
        <f t="shared" si="3"/>
        <v>0</v>
      </c>
      <c r="G185" s="37" t="s">
        <v>713</v>
      </c>
    </row>
    <row r="186" spans="1:7" x14ac:dyDescent="0.25">
      <c r="A186" s="8" t="s">
        <v>323</v>
      </c>
      <c r="B186" s="9" t="s">
        <v>117</v>
      </c>
      <c r="C186" s="10" t="s">
        <v>18</v>
      </c>
      <c r="D186" s="10">
        <v>10</v>
      </c>
      <c r="E186" s="11">
        <f>VLOOKUP(B186, [1]PRECIOS_MATERIALES!$A:$C, 3, FALSE)</f>
        <v>671</v>
      </c>
      <c r="F186" s="30">
        <f t="shared" si="3"/>
        <v>6710</v>
      </c>
      <c r="G186" s="37"/>
    </row>
    <row r="187" spans="1:7" x14ac:dyDescent="0.25">
      <c r="A187" s="8" t="s">
        <v>324</v>
      </c>
      <c r="B187" s="9" t="s">
        <v>121</v>
      </c>
      <c r="C187" s="10" t="s">
        <v>18</v>
      </c>
      <c r="D187" s="10">
        <v>3</v>
      </c>
      <c r="E187" s="11">
        <f>VLOOKUP(B187, [1]PRECIOS_MATERIALES!$A:$C, 3, FALSE)</f>
        <v>640</v>
      </c>
      <c r="F187" s="30">
        <f t="shared" si="3"/>
        <v>1920</v>
      </c>
      <c r="G187" s="37"/>
    </row>
    <row r="188" spans="1:7" x14ac:dyDescent="0.25">
      <c r="A188" s="12" t="s">
        <v>325</v>
      </c>
      <c r="B188" s="13" t="s">
        <v>133</v>
      </c>
      <c r="C188" s="10"/>
      <c r="D188" s="10"/>
      <c r="E188" s="11"/>
      <c r="F188" s="30">
        <f t="shared" si="3"/>
        <v>0</v>
      </c>
      <c r="G188" s="37" t="s">
        <v>713</v>
      </c>
    </row>
    <row r="189" spans="1:7" x14ac:dyDescent="0.25">
      <c r="A189" s="8" t="s">
        <v>326</v>
      </c>
      <c r="B189" s="9" t="s">
        <v>327</v>
      </c>
      <c r="C189" s="10" t="s">
        <v>18</v>
      </c>
      <c r="D189" s="10">
        <v>1</v>
      </c>
      <c r="E189" s="11">
        <f>VLOOKUP(B189, [1]PRECIOS_MATERIALES!$A:$C, 3, FALSE)</f>
        <v>223584</v>
      </c>
      <c r="F189" s="30">
        <f t="shared" si="3"/>
        <v>223584</v>
      </c>
      <c r="G189" s="37"/>
    </row>
    <row r="190" spans="1:7" x14ac:dyDescent="0.25">
      <c r="A190" s="8" t="s">
        <v>328</v>
      </c>
      <c r="B190" s="9" t="s">
        <v>329</v>
      </c>
      <c r="C190" s="10" t="s">
        <v>18</v>
      </c>
      <c r="D190" s="10">
        <v>3</v>
      </c>
      <c r="E190" s="11">
        <f>VLOOKUP(B190, [1]PRECIOS_MATERIALES!$A:$C, 3, FALSE)</f>
        <v>597720</v>
      </c>
      <c r="F190" s="30">
        <f t="shared" si="3"/>
        <v>1793160</v>
      </c>
      <c r="G190" s="37"/>
    </row>
    <row r="191" spans="1:7" x14ac:dyDescent="0.25">
      <c r="A191" s="8" t="s">
        <v>330</v>
      </c>
      <c r="B191" s="9" t="s">
        <v>331</v>
      </c>
      <c r="C191" s="10" t="s">
        <v>18</v>
      </c>
      <c r="D191" s="10">
        <v>2</v>
      </c>
      <c r="E191" s="11">
        <f>VLOOKUP(B191, [1]PRECIOS_MATERIALES!$A:$C, 3, FALSE)</f>
        <v>1200543</v>
      </c>
      <c r="F191" s="30">
        <f t="shared" si="3"/>
        <v>2401086</v>
      </c>
      <c r="G191" s="37"/>
    </row>
    <row r="192" spans="1:7" x14ac:dyDescent="0.25">
      <c r="A192" s="8" t="s">
        <v>332</v>
      </c>
      <c r="B192" s="9" t="s">
        <v>333</v>
      </c>
      <c r="C192" s="10" t="s">
        <v>18</v>
      </c>
      <c r="D192" s="10">
        <v>2</v>
      </c>
      <c r="E192" s="11">
        <f>VLOOKUP(B192, [1]PRECIOS_MATERIALES!$A:$C, 3, FALSE)</f>
        <v>614895</v>
      </c>
      <c r="F192" s="30">
        <f t="shared" si="3"/>
        <v>1229790</v>
      </c>
      <c r="G192" s="37"/>
    </row>
    <row r="193" spans="1:7" x14ac:dyDescent="0.25">
      <c r="A193" s="8" t="s">
        <v>334</v>
      </c>
      <c r="B193" s="9" t="s">
        <v>335</v>
      </c>
      <c r="C193" s="10" t="s">
        <v>18</v>
      </c>
      <c r="D193" s="10">
        <v>1</v>
      </c>
      <c r="E193" s="11">
        <f>VLOOKUP(B193, [1]PRECIOS_MATERIALES!$A:$C, 3, FALSE)</f>
        <v>1851793</v>
      </c>
      <c r="F193" s="30">
        <f t="shared" si="3"/>
        <v>1851793</v>
      </c>
      <c r="G193" s="37"/>
    </row>
    <row r="194" spans="1:7" x14ac:dyDescent="0.25">
      <c r="A194" s="8" t="s">
        <v>336</v>
      </c>
      <c r="B194" s="9" t="s">
        <v>337</v>
      </c>
      <c r="C194" s="10" t="s">
        <v>18</v>
      </c>
      <c r="D194" s="10">
        <v>1</v>
      </c>
      <c r="E194" s="11">
        <f>VLOOKUP(B194, [1]PRECIOS_MATERIALES!$A:$C, 3, FALSE)</f>
        <v>475711</v>
      </c>
      <c r="F194" s="30">
        <f t="shared" si="3"/>
        <v>475711</v>
      </c>
      <c r="G194" s="37"/>
    </row>
    <row r="195" spans="1:7" x14ac:dyDescent="0.25">
      <c r="A195" s="8" t="s">
        <v>338</v>
      </c>
      <c r="B195" s="9" t="s">
        <v>339</v>
      </c>
      <c r="C195" s="10" t="s">
        <v>18</v>
      </c>
      <c r="D195" s="10">
        <v>1</v>
      </c>
      <c r="E195" s="11">
        <f>VLOOKUP(B195, [1]PRECIOS_MATERIALES!$A:$C, 3, FALSE)</f>
        <v>634282</v>
      </c>
      <c r="F195" s="30">
        <f t="shared" si="3"/>
        <v>634282</v>
      </c>
      <c r="G195" s="37"/>
    </row>
    <row r="196" spans="1:7" x14ac:dyDescent="0.25">
      <c r="A196" s="8" t="s">
        <v>340</v>
      </c>
      <c r="B196" s="9" t="s">
        <v>341</v>
      </c>
      <c r="C196" s="10" t="s">
        <v>18</v>
      </c>
      <c r="D196" s="10">
        <v>1</v>
      </c>
      <c r="E196" s="11">
        <f>VLOOKUP(B196, [1]PRECIOS_MATERIALES!$A:$C, 3, FALSE)</f>
        <v>2759125</v>
      </c>
      <c r="F196" s="30">
        <f t="shared" si="3"/>
        <v>2759125</v>
      </c>
      <c r="G196" s="37"/>
    </row>
    <row r="197" spans="1:7" x14ac:dyDescent="0.25">
      <c r="A197" s="8" t="s">
        <v>342</v>
      </c>
      <c r="B197" s="9" t="s">
        <v>343</v>
      </c>
      <c r="C197" s="10" t="s">
        <v>18</v>
      </c>
      <c r="D197" s="10">
        <v>1</v>
      </c>
      <c r="E197" s="11">
        <f>VLOOKUP(B197, [1]PRECIOS_MATERIALES!$A:$C, 3, FALSE)</f>
        <v>365663</v>
      </c>
      <c r="F197" s="30">
        <f t="shared" si="3"/>
        <v>365663</v>
      </c>
      <c r="G197" s="37"/>
    </row>
    <row r="198" spans="1:7" x14ac:dyDescent="0.25">
      <c r="A198" s="8" t="s">
        <v>344</v>
      </c>
      <c r="B198" s="9" t="s">
        <v>345</v>
      </c>
      <c r="C198" s="10" t="s">
        <v>18</v>
      </c>
      <c r="D198" s="10">
        <v>1</v>
      </c>
      <c r="E198" s="11">
        <f>VLOOKUP(B198, [1]PRECIOS_MATERIALES!$A:$C, 3, FALSE)</f>
        <v>3948403</v>
      </c>
      <c r="F198" s="30">
        <f t="shared" si="3"/>
        <v>3948403</v>
      </c>
      <c r="G198" s="37"/>
    </row>
    <row r="199" spans="1:7" x14ac:dyDescent="0.25">
      <c r="A199" s="8" t="s">
        <v>346</v>
      </c>
      <c r="B199" s="9" t="s">
        <v>347</v>
      </c>
      <c r="C199" s="10" t="s">
        <v>18</v>
      </c>
      <c r="D199" s="10">
        <v>1</v>
      </c>
      <c r="E199" s="11">
        <f>VLOOKUP(B199, [1]PRECIOS_MATERIALES!$A:$C, 3, FALSE)</f>
        <v>94825</v>
      </c>
      <c r="F199" s="30">
        <f t="shared" si="3"/>
        <v>94825</v>
      </c>
      <c r="G199" s="37"/>
    </row>
    <row r="200" spans="1:7" x14ac:dyDescent="0.25">
      <c r="A200" s="8" t="s">
        <v>348</v>
      </c>
      <c r="B200" s="9" t="s">
        <v>276</v>
      </c>
      <c r="C200" s="10" t="s">
        <v>18</v>
      </c>
      <c r="D200" s="10">
        <v>2</v>
      </c>
      <c r="E200" s="11">
        <f>VLOOKUP(B200, [1]PRECIOS_MATERIALES!$A:$C, 3, FALSE)</f>
        <v>94825</v>
      </c>
      <c r="F200" s="30">
        <f t="shared" si="3"/>
        <v>189650</v>
      </c>
      <c r="G200" s="37"/>
    </row>
    <row r="201" spans="1:7" x14ac:dyDescent="0.25">
      <c r="A201" s="12">
        <v>6</v>
      </c>
      <c r="B201" s="13" t="s">
        <v>349</v>
      </c>
      <c r="C201" s="10"/>
      <c r="D201" s="10"/>
      <c r="E201" s="11"/>
      <c r="F201" s="30">
        <f t="shared" si="3"/>
        <v>0</v>
      </c>
      <c r="G201" s="37" t="s">
        <v>713</v>
      </c>
    </row>
    <row r="202" spans="1:7" x14ac:dyDescent="0.25">
      <c r="A202" s="12" t="s">
        <v>350</v>
      </c>
      <c r="B202" s="13" t="s">
        <v>351</v>
      </c>
      <c r="C202" s="10"/>
      <c r="D202" s="10"/>
      <c r="E202" s="11"/>
      <c r="F202" s="30">
        <f t="shared" si="3"/>
        <v>0</v>
      </c>
      <c r="G202" s="37" t="s">
        <v>713</v>
      </c>
    </row>
    <row r="203" spans="1:7" x14ac:dyDescent="0.25">
      <c r="A203" s="8" t="s">
        <v>352</v>
      </c>
      <c r="B203" s="9" t="s">
        <v>353</v>
      </c>
      <c r="C203" s="10" t="s">
        <v>18</v>
      </c>
      <c r="D203" s="10">
        <v>82</v>
      </c>
      <c r="E203" s="11">
        <f>VLOOKUP(B203, [1]PRECIOS_MATERIALES!$A:$C, 3, FALSE)</f>
        <v>120884</v>
      </c>
      <c r="F203" s="30">
        <f t="shared" si="3"/>
        <v>9912488</v>
      </c>
      <c r="G203" s="37"/>
    </row>
    <row r="204" spans="1:7" x14ac:dyDescent="0.25">
      <c r="A204" s="8" t="s">
        <v>354</v>
      </c>
      <c r="B204" s="9" t="s">
        <v>355</v>
      </c>
      <c r="C204" s="10" t="s">
        <v>18</v>
      </c>
      <c r="D204" s="10">
        <v>226</v>
      </c>
      <c r="E204" s="11">
        <f>VLOOKUP(B204, [1]PRECIOS_MATERIALES!$A:$C, 3, FALSE)</f>
        <v>116231</v>
      </c>
      <c r="F204" s="30">
        <f t="shared" si="3"/>
        <v>26268206</v>
      </c>
      <c r="G204" s="37"/>
    </row>
    <row r="205" spans="1:7" x14ac:dyDescent="0.25">
      <c r="A205" s="8" t="s">
        <v>356</v>
      </c>
      <c r="B205" s="9" t="s">
        <v>357</v>
      </c>
      <c r="C205" s="10" t="s">
        <v>18</v>
      </c>
      <c r="D205" s="10">
        <v>37</v>
      </c>
      <c r="E205" s="11">
        <f>VLOOKUP(B205, [1]PRECIOS_MATERIALES!$A:$C, 3, FALSE)</f>
        <v>296858</v>
      </c>
      <c r="F205" s="30">
        <f t="shared" ref="F205:F268" si="4">D205*E205</f>
        <v>10983746</v>
      </c>
      <c r="G205" s="37"/>
    </row>
    <row r="206" spans="1:7" x14ac:dyDescent="0.25">
      <c r="A206" s="8" t="s">
        <v>358</v>
      </c>
      <c r="B206" s="9" t="s">
        <v>359</v>
      </c>
      <c r="C206" s="10" t="s">
        <v>18</v>
      </c>
      <c r="D206" s="10">
        <v>83</v>
      </c>
      <c r="E206" s="11">
        <f>VLOOKUP(B206, [1]PRECIOS_MATERIALES!$A:$C, 3, FALSE)</f>
        <v>111487</v>
      </c>
      <c r="F206" s="30">
        <f t="shared" si="4"/>
        <v>9253421</v>
      </c>
      <c r="G206" s="37"/>
    </row>
    <row r="207" spans="1:7" x14ac:dyDescent="0.25">
      <c r="A207" s="8" t="s">
        <v>360</v>
      </c>
      <c r="B207" s="9" t="s">
        <v>361</v>
      </c>
      <c r="C207" s="10" t="s">
        <v>18</v>
      </c>
      <c r="D207" s="10">
        <v>37</v>
      </c>
      <c r="E207" s="11">
        <f>VLOOKUP(B207, [1]PRECIOS_MATERIALES!$A:$C, 3, FALSE)</f>
        <v>153161</v>
      </c>
      <c r="F207" s="30">
        <f t="shared" si="4"/>
        <v>5666957</v>
      </c>
      <c r="G207" s="37"/>
    </row>
    <row r="208" spans="1:7" x14ac:dyDescent="0.25">
      <c r="A208" s="8" t="s">
        <v>362</v>
      </c>
      <c r="B208" s="9" t="s">
        <v>363</v>
      </c>
      <c r="C208" s="10" t="s">
        <v>18</v>
      </c>
      <c r="D208" s="10">
        <v>33</v>
      </c>
      <c r="E208" s="11">
        <f>VLOOKUP(B208, [1]PRECIOS_MATERIALES!$A:$C, 3, FALSE)</f>
        <v>119406</v>
      </c>
      <c r="F208" s="30">
        <f t="shared" si="4"/>
        <v>3940398</v>
      </c>
      <c r="G208" s="37"/>
    </row>
    <row r="209" spans="1:7" x14ac:dyDescent="0.25">
      <c r="A209" s="8" t="s">
        <v>364</v>
      </c>
      <c r="B209" s="9" t="s">
        <v>365</v>
      </c>
      <c r="C209" s="10" t="s">
        <v>18</v>
      </c>
      <c r="D209" s="10">
        <v>37</v>
      </c>
      <c r="E209" s="11">
        <f>VLOOKUP(B209, [1]PRECIOS_MATERIALES!$A:$C, 3, FALSE)</f>
        <v>198683</v>
      </c>
      <c r="F209" s="30">
        <f t="shared" si="4"/>
        <v>7351271</v>
      </c>
      <c r="G209" s="37"/>
    </row>
    <row r="210" spans="1:7" x14ac:dyDescent="0.25">
      <c r="A210" s="12" t="s">
        <v>366</v>
      </c>
      <c r="B210" s="13" t="s">
        <v>367</v>
      </c>
      <c r="C210" s="10"/>
      <c r="D210" s="10"/>
      <c r="E210" s="11"/>
      <c r="F210" s="30">
        <f t="shared" si="4"/>
        <v>0</v>
      </c>
      <c r="G210" s="37" t="s">
        <v>713</v>
      </c>
    </row>
    <row r="211" spans="1:7" x14ac:dyDescent="0.25">
      <c r="A211" s="8" t="s">
        <v>368</v>
      </c>
      <c r="B211" s="9" t="s">
        <v>369</v>
      </c>
      <c r="C211" s="10" t="s">
        <v>18</v>
      </c>
      <c r="D211" s="10">
        <v>1</v>
      </c>
      <c r="E211" s="11">
        <f>VLOOKUP(B211, [1]PRECIOS_MATERIALES!$A:$C, 3, FALSE)</f>
        <v>5615538</v>
      </c>
      <c r="F211" s="30">
        <f t="shared" si="4"/>
        <v>5615538</v>
      </c>
      <c r="G211" s="37"/>
    </row>
    <row r="212" spans="1:7" x14ac:dyDescent="0.25">
      <c r="A212" s="8" t="s">
        <v>370</v>
      </c>
      <c r="B212" s="9" t="s">
        <v>371</v>
      </c>
      <c r="C212" s="10" t="s">
        <v>18</v>
      </c>
      <c r="D212" s="10">
        <v>3</v>
      </c>
      <c r="E212" s="11">
        <f>VLOOKUP(B212, [1]PRECIOS_MATERIALES!$A:$C, 3, FALSE)</f>
        <v>38057</v>
      </c>
      <c r="F212" s="30">
        <f t="shared" si="4"/>
        <v>114171</v>
      </c>
      <c r="G212" s="37"/>
    </row>
    <row r="213" spans="1:7" x14ac:dyDescent="0.25">
      <c r="A213" s="8" t="s">
        <v>372</v>
      </c>
      <c r="B213" s="9" t="s">
        <v>373</v>
      </c>
      <c r="C213" s="10" t="s">
        <v>18</v>
      </c>
      <c r="D213" s="10">
        <v>2</v>
      </c>
      <c r="E213" s="11">
        <f>VLOOKUP(B213, [1]PRECIOS_MATERIALES!$A:$C, 3, FALSE)</f>
        <v>114327</v>
      </c>
      <c r="F213" s="30">
        <f t="shared" si="4"/>
        <v>228654</v>
      </c>
      <c r="G213" s="37"/>
    </row>
    <row r="214" spans="1:7" x14ac:dyDescent="0.25">
      <c r="A214" s="12" t="s">
        <v>374</v>
      </c>
      <c r="B214" s="13" t="s">
        <v>375</v>
      </c>
      <c r="C214" s="10"/>
      <c r="D214" s="10"/>
      <c r="E214" s="11"/>
      <c r="F214" s="30">
        <f t="shared" si="4"/>
        <v>0</v>
      </c>
      <c r="G214" s="37" t="s">
        <v>713</v>
      </c>
    </row>
    <row r="215" spans="1:7" x14ac:dyDescent="0.25">
      <c r="A215" s="8" t="s">
        <v>376</v>
      </c>
      <c r="B215" s="9" t="s">
        <v>377</v>
      </c>
      <c r="C215" s="10" t="s">
        <v>33</v>
      </c>
      <c r="D215" s="10">
        <v>1920</v>
      </c>
      <c r="E215" s="11">
        <f>VLOOKUP(B215, [1]PRECIOS_MATERIALES!$A:$C, 3, FALSE)</f>
        <v>3253</v>
      </c>
      <c r="F215" s="30">
        <f t="shared" si="4"/>
        <v>6245760</v>
      </c>
      <c r="G215" s="37"/>
    </row>
    <row r="216" spans="1:7" x14ac:dyDescent="0.25">
      <c r="A216" s="8" t="s">
        <v>378</v>
      </c>
      <c r="B216" s="9" t="s">
        <v>379</v>
      </c>
      <c r="C216" s="10" t="s">
        <v>33</v>
      </c>
      <c r="D216" s="10">
        <v>1672</v>
      </c>
      <c r="E216" s="11">
        <f>VLOOKUP(B216, [1]PRECIOS_MATERIALES!$A:$C, 3, FALSE)</f>
        <v>10650</v>
      </c>
      <c r="F216" s="30">
        <f t="shared" si="4"/>
        <v>17806800</v>
      </c>
      <c r="G216" s="37"/>
    </row>
    <row r="217" spans="1:7" x14ac:dyDescent="0.25">
      <c r="A217" s="8" t="s">
        <v>380</v>
      </c>
      <c r="B217" s="9" t="s">
        <v>381</v>
      </c>
      <c r="C217" s="10" t="s">
        <v>33</v>
      </c>
      <c r="D217" s="10">
        <v>263</v>
      </c>
      <c r="E217" s="11">
        <f>VLOOKUP(B217, [1]PRECIOS_MATERIALES!$A:$C, 3, FALSE)</f>
        <v>15124</v>
      </c>
      <c r="F217" s="30">
        <f t="shared" si="4"/>
        <v>3977612</v>
      </c>
      <c r="G217" s="37"/>
    </row>
    <row r="218" spans="1:7" x14ac:dyDescent="0.25">
      <c r="A218" s="8" t="s">
        <v>382</v>
      </c>
      <c r="B218" s="9" t="s">
        <v>383</v>
      </c>
      <c r="C218" s="10" t="s">
        <v>33</v>
      </c>
      <c r="D218" s="10">
        <v>1</v>
      </c>
      <c r="E218" s="11">
        <f>VLOOKUP(B218, [1]PRECIOS_MATERIALES!$A:$C, 3, FALSE)</f>
        <v>5862</v>
      </c>
      <c r="F218" s="30">
        <f t="shared" si="4"/>
        <v>5862</v>
      </c>
      <c r="G218" s="37" t="s">
        <v>713</v>
      </c>
    </row>
    <row r="219" spans="1:7" x14ac:dyDescent="0.25">
      <c r="A219" s="12" t="s">
        <v>384</v>
      </c>
      <c r="B219" s="13" t="s">
        <v>385</v>
      </c>
      <c r="C219" s="10"/>
      <c r="D219" s="10"/>
      <c r="E219" s="11"/>
      <c r="F219" s="30">
        <f t="shared" si="4"/>
        <v>0</v>
      </c>
      <c r="G219" s="37"/>
    </row>
    <row r="220" spans="1:7" x14ac:dyDescent="0.25">
      <c r="A220" s="8" t="s">
        <v>386</v>
      </c>
      <c r="B220" s="9" t="s">
        <v>387</v>
      </c>
      <c r="C220" s="10" t="s">
        <v>18</v>
      </c>
      <c r="D220" s="10">
        <v>1</v>
      </c>
      <c r="E220" s="11">
        <f>VLOOKUP(B220, [1]PRECIOS_MATERIALES!$A:$C, 3, FALSE)</f>
        <v>7403969</v>
      </c>
      <c r="F220" s="30">
        <f t="shared" si="4"/>
        <v>7403969</v>
      </c>
      <c r="G220" s="37"/>
    </row>
    <row r="221" spans="1:7" x14ac:dyDescent="0.25">
      <c r="A221" s="12">
        <v>7</v>
      </c>
      <c r="B221" s="13" t="s">
        <v>388</v>
      </c>
      <c r="C221" s="10"/>
      <c r="D221" s="10"/>
      <c r="E221" s="11"/>
      <c r="F221" s="30">
        <f t="shared" si="4"/>
        <v>0</v>
      </c>
      <c r="G221" s="37" t="s">
        <v>713</v>
      </c>
    </row>
    <row r="222" spans="1:7" x14ac:dyDescent="0.25">
      <c r="A222" s="12" t="s">
        <v>389</v>
      </c>
      <c r="B222" s="13" t="s">
        <v>390</v>
      </c>
      <c r="C222" s="10"/>
      <c r="D222" s="10"/>
      <c r="E222" s="11"/>
      <c r="F222" s="30">
        <f t="shared" si="4"/>
        <v>0</v>
      </c>
      <c r="G222" s="37" t="s">
        <v>713</v>
      </c>
    </row>
    <row r="223" spans="1:7" x14ac:dyDescent="0.25">
      <c r="A223" s="8" t="s">
        <v>391</v>
      </c>
      <c r="B223" s="9" t="s">
        <v>392</v>
      </c>
      <c r="C223" s="10" t="s">
        <v>18</v>
      </c>
      <c r="D223" s="10">
        <v>1</v>
      </c>
      <c r="E223" s="11">
        <f>VLOOKUP(B223, [1]PRECIOS_MATERIALES!$A:$C, 3, FALSE)</f>
        <v>2809605</v>
      </c>
      <c r="F223" s="30">
        <f t="shared" si="4"/>
        <v>2809605</v>
      </c>
      <c r="G223" s="37"/>
    </row>
    <row r="224" spans="1:7" x14ac:dyDescent="0.25">
      <c r="A224" s="8" t="s">
        <v>393</v>
      </c>
      <c r="B224" s="9" t="s">
        <v>394</v>
      </c>
      <c r="C224" s="10" t="s">
        <v>18</v>
      </c>
      <c r="D224" s="10">
        <v>1</v>
      </c>
      <c r="E224" s="11">
        <f>VLOOKUP(B224, [1]PRECIOS_MATERIALES!$A:$C, 3, FALSE)</f>
        <v>2842275</v>
      </c>
      <c r="F224" s="30">
        <f t="shared" si="4"/>
        <v>2842275</v>
      </c>
      <c r="G224" s="37"/>
    </row>
    <row r="225" spans="1:7" x14ac:dyDescent="0.25">
      <c r="A225" s="8" t="s">
        <v>395</v>
      </c>
      <c r="B225" s="9" t="s">
        <v>396</v>
      </c>
      <c r="C225" s="10" t="s">
        <v>18</v>
      </c>
      <c r="D225" s="10">
        <v>1</v>
      </c>
      <c r="E225" s="11">
        <f>VLOOKUP(B225, [1]PRECIOS_MATERIALES!$A:$C, 3, FALSE)</f>
        <v>2842275</v>
      </c>
      <c r="F225" s="30">
        <f t="shared" si="4"/>
        <v>2842275</v>
      </c>
      <c r="G225" s="37"/>
    </row>
    <row r="226" spans="1:7" x14ac:dyDescent="0.25">
      <c r="A226" s="8" t="s">
        <v>397</v>
      </c>
      <c r="B226" s="9" t="s">
        <v>398</v>
      </c>
      <c r="C226" s="10" t="s">
        <v>18</v>
      </c>
      <c r="D226" s="10">
        <v>1</v>
      </c>
      <c r="E226" s="11">
        <f>VLOOKUP(B226, [1]PRECIOS_MATERIALES!$A:$C, 3, FALSE)</f>
        <v>2842275</v>
      </c>
      <c r="F226" s="30">
        <f t="shared" si="4"/>
        <v>2842275</v>
      </c>
      <c r="G226" s="37"/>
    </row>
    <row r="227" spans="1:7" x14ac:dyDescent="0.25">
      <c r="A227" s="8" t="s">
        <v>399</v>
      </c>
      <c r="B227" s="9" t="s">
        <v>400</v>
      </c>
      <c r="C227" s="10" t="s">
        <v>18</v>
      </c>
      <c r="D227" s="10">
        <v>1</v>
      </c>
      <c r="E227" s="11">
        <f>VLOOKUP(B227, [1]PRECIOS_MATERIALES!$A:$C, 3, FALSE)</f>
        <v>2626381</v>
      </c>
      <c r="F227" s="30">
        <f t="shared" si="4"/>
        <v>2626381</v>
      </c>
      <c r="G227" s="37"/>
    </row>
    <row r="228" spans="1:7" x14ac:dyDescent="0.25">
      <c r="A228" s="8" t="s">
        <v>401</v>
      </c>
      <c r="B228" s="9" t="s">
        <v>402</v>
      </c>
      <c r="C228" s="10" t="s">
        <v>18</v>
      </c>
      <c r="D228" s="10">
        <v>1</v>
      </c>
      <c r="E228" s="11">
        <f>VLOOKUP(B228, [1]PRECIOS_MATERIALES!$A:$C, 3, FALSE)</f>
        <v>1493733</v>
      </c>
      <c r="F228" s="30">
        <f t="shared" si="4"/>
        <v>1493733</v>
      </c>
      <c r="G228" s="37"/>
    </row>
    <row r="229" spans="1:7" x14ac:dyDescent="0.25">
      <c r="A229" s="8" t="s">
        <v>403</v>
      </c>
      <c r="B229" s="9" t="s">
        <v>404</v>
      </c>
      <c r="C229" s="10" t="s">
        <v>18</v>
      </c>
      <c r="D229" s="10">
        <v>1</v>
      </c>
      <c r="E229" s="11">
        <f>VLOOKUP(B229, [1]PRECIOS_MATERIALES!$A:$C, 3, FALSE)</f>
        <v>1623127</v>
      </c>
      <c r="F229" s="30">
        <f t="shared" si="4"/>
        <v>1623127</v>
      </c>
      <c r="G229" s="37"/>
    </row>
    <row r="230" spans="1:7" x14ac:dyDescent="0.25">
      <c r="A230" s="8" t="s">
        <v>405</v>
      </c>
      <c r="B230" s="9" t="s">
        <v>406</v>
      </c>
      <c r="C230" s="10" t="s">
        <v>18</v>
      </c>
      <c r="D230" s="10">
        <v>1</v>
      </c>
      <c r="E230" s="11">
        <f>VLOOKUP(B230, [1]PRECIOS_MATERIALES!$A:$C, 3, FALSE)</f>
        <v>1236849</v>
      </c>
      <c r="F230" s="30">
        <f t="shared" si="4"/>
        <v>1236849</v>
      </c>
      <c r="G230" s="37"/>
    </row>
    <row r="231" spans="1:7" x14ac:dyDescent="0.25">
      <c r="A231" s="12" t="s">
        <v>407</v>
      </c>
      <c r="B231" s="13" t="s">
        <v>408</v>
      </c>
      <c r="C231" s="10"/>
      <c r="D231" s="10"/>
      <c r="E231" s="11"/>
      <c r="F231" s="30">
        <f t="shared" si="4"/>
        <v>0</v>
      </c>
      <c r="G231" s="37" t="s">
        <v>713</v>
      </c>
    </row>
    <row r="232" spans="1:7" x14ac:dyDescent="0.25">
      <c r="A232" s="8" t="s">
        <v>409</v>
      </c>
      <c r="B232" s="9" t="s">
        <v>410</v>
      </c>
      <c r="C232" s="10" t="s">
        <v>33</v>
      </c>
      <c r="D232" s="10">
        <v>50</v>
      </c>
      <c r="E232" s="11">
        <f>VLOOKUP(B232, [1]PRECIOS_MATERIALES!$A:$C, 3, FALSE)</f>
        <v>55862</v>
      </c>
      <c r="F232" s="30">
        <f t="shared" si="4"/>
        <v>2793100</v>
      </c>
      <c r="G232" s="37"/>
    </row>
    <row r="233" spans="1:7" x14ac:dyDescent="0.25">
      <c r="A233" s="8" t="s">
        <v>411</v>
      </c>
      <c r="B233" s="9" t="s">
        <v>412</v>
      </c>
      <c r="C233" s="10" t="s">
        <v>33</v>
      </c>
      <c r="D233" s="10">
        <v>65</v>
      </c>
      <c r="E233" s="11">
        <f>VLOOKUP(B233, [1]PRECIOS_MATERIALES!$A:$C, 3, FALSE)</f>
        <v>55692</v>
      </c>
      <c r="F233" s="30">
        <f t="shared" si="4"/>
        <v>3619980</v>
      </c>
      <c r="G233" s="37"/>
    </row>
    <row r="234" spans="1:7" x14ac:dyDescent="0.25">
      <c r="A234" s="8" t="s">
        <v>413</v>
      </c>
      <c r="B234" s="9" t="s">
        <v>414</v>
      </c>
      <c r="C234" s="10" t="s">
        <v>33</v>
      </c>
      <c r="D234" s="10">
        <v>85</v>
      </c>
      <c r="E234" s="11">
        <f>VLOOKUP(B234, [1]PRECIOS_MATERIALES!$A:$C, 3, FALSE)</f>
        <v>55849</v>
      </c>
      <c r="F234" s="30">
        <f t="shared" si="4"/>
        <v>4747165</v>
      </c>
      <c r="G234" s="37"/>
    </row>
    <row r="235" spans="1:7" x14ac:dyDescent="0.25">
      <c r="A235" s="8" t="s">
        <v>415</v>
      </c>
      <c r="B235" s="9" t="s">
        <v>416</v>
      </c>
      <c r="C235" s="10" t="s">
        <v>33</v>
      </c>
      <c r="D235" s="10">
        <v>100</v>
      </c>
      <c r="E235" s="11">
        <f>VLOOKUP(B235, [1]PRECIOS_MATERIALES!$A:$C, 3, FALSE)</f>
        <v>57779</v>
      </c>
      <c r="F235" s="30">
        <f t="shared" si="4"/>
        <v>5777900</v>
      </c>
      <c r="G235" s="37"/>
    </row>
    <row r="236" spans="1:7" x14ac:dyDescent="0.25">
      <c r="A236" s="8" t="s">
        <v>417</v>
      </c>
      <c r="B236" s="9" t="s">
        <v>418</v>
      </c>
      <c r="C236" s="10" t="s">
        <v>33</v>
      </c>
      <c r="D236" s="10">
        <v>105</v>
      </c>
      <c r="E236" s="11">
        <f>VLOOKUP(B236, [1]PRECIOS_MATERIALES!$A:$C, 3, FALSE)</f>
        <v>76921</v>
      </c>
      <c r="F236" s="30">
        <f t="shared" si="4"/>
        <v>8076705</v>
      </c>
      <c r="G236" s="37"/>
    </row>
    <row r="237" spans="1:7" x14ac:dyDescent="0.25">
      <c r="A237" s="8" t="s">
        <v>419</v>
      </c>
      <c r="B237" s="9" t="s">
        <v>420</v>
      </c>
      <c r="C237" s="10" t="s">
        <v>33</v>
      </c>
      <c r="D237" s="10">
        <v>8</v>
      </c>
      <c r="E237" s="11">
        <f>VLOOKUP(B237, [1]PRECIOS_MATERIALES!$A:$C, 3, FALSE)</f>
        <v>22798</v>
      </c>
      <c r="F237" s="30">
        <f t="shared" si="4"/>
        <v>182384</v>
      </c>
      <c r="G237" s="37"/>
    </row>
    <row r="238" spans="1:7" x14ac:dyDescent="0.25">
      <c r="A238" s="8" t="s">
        <v>421</v>
      </c>
      <c r="B238" s="9" t="s">
        <v>422</v>
      </c>
      <c r="C238" s="10" t="s">
        <v>33</v>
      </c>
      <c r="D238" s="10">
        <v>5</v>
      </c>
      <c r="E238" s="11">
        <f>VLOOKUP(B238, [1]PRECIOS_MATERIALES!$A:$C, 3, FALSE)</f>
        <v>31606</v>
      </c>
      <c r="F238" s="30">
        <f t="shared" si="4"/>
        <v>158030</v>
      </c>
      <c r="G238" s="37"/>
    </row>
    <row r="239" spans="1:7" x14ac:dyDescent="0.25">
      <c r="A239" s="8" t="s">
        <v>423</v>
      </c>
      <c r="B239" s="9" t="s">
        <v>424</v>
      </c>
      <c r="C239" s="10" t="s">
        <v>33</v>
      </c>
      <c r="D239" s="10">
        <v>5</v>
      </c>
      <c r="E239" s="11">
        <f>VLOOKUP(B239, [1]PRECIOS_MATERIALES!$A:$C, 3, FALSE)</f>
        <v>31606</v>
      </c>
      <c r="F239" s="30">
        <f t="shared" si="4"/>
        <v>158030</v>
      </c>
      <c r="G239" s="37"/>
    </row>
    <row r="240" spans="1:7" x14ac:dyDescent="0.25">
      <c r="A240" s="12" t="s">
        <v>425</v>
      </c>
      <c r="B240" s="13" t="s">
        <v>426</v>
      </c>
      <c r="C240" s="10"/>
      <c r="D240" s="10"/>
      <c r="E240" s="11"/>
      <c r="F240" s="30">
        <f t="shared" si="4"/>
        <v>0</v>
      </c>
      <c r="G240" s="37" t="s">
        <v>713</v>
      </c>
    </row>
    <row r="241" spans="1:7" x14ac:dyDescent="0.25">
      <c r="A241" s="8" t="s">
        <v>427</v>
      </c>
      <c r="B241" s="9" t="s">
        <v>428</v>
      </c>
      <c r="C241" s="10" t="s">
        <v>18</v>
      </c>
      <c r="D241" s="10">
        <v>8</v>
      </c>
      <c r="E241" s="11">
        <f>VLOOKUP(B241, [1]PRECIOS_MATERIALES!$A:$C, 3, FALSE)</f>
        <v>26492</v>
      </c>
      <c r="F241" s="30">
        <f t="shared" si="4"/>
        <v>211936</v>
      </c>
      <c r="G241" s="37"/>
    </row>
    <row r="242" spans="1:7" x14ac:dyDescent="0.25">
      <c r="A242" s="8" t="s">
        <v>429</v>
      </c>
      <c r="B242" s="9" t="s">
        <v>430</v>
      </c>
      <c r="C242" s="10" t="s">
        <v>18</v>
      </c>
      <c r="D242" s="10">
        <v>1</v>
      </c>
      <c r="E242" s="11">
        <f>VLOOKUP(B242, [1]PRECIOS_MATERIALES!$A:$C, 3, FALSE)</f>
        <v>62612</v>
      </c>
      <c r="F242" s="30">
        <f t="shared" si="4"/>
        <v>62612</v>
      </c>
      <c r="G242" s="37"/>
    </row>
    <row r="243" spans="1:7" x14ac:dyDescent="0.25">
      <c r="A243" s="8" t="s">
        <v>431</v>
      </c>
      <c r="B243" s="9" t="s">
        <v>432</v>
      </c>
      <c r="C243" s="10" t="s">
        <v>18</v>
      </c>
      <c r="D243" s="10">
        <v>6</v>
      </c>
      <c r="E243" s="11">
        <f>VLOOKUP(B243, [1]PRECIOS_MATERIALES!$A:$C, 3, FALSE)</f>
        <v>28914</v>
      </c>
      <c r="F243" s="30">
        <f t="shared" si="4"/>
        <v>173484</v>
      </c>
      <c r="G243" s="37"/>
    </row>
    <row r="244" spans="1:7" x14ac:dyDescent="0.25">
      <c r="A244" s="8" t="s">
        <v>433</v>
      </c>
      <c r="B244" s="9" t="s">
        <v>434</v>
      </c>
      <c r="C244" s="10" t="s">
        <v>18</v>
      </c>
      <c r="D244" s="10">
        <v>1</v>
      </c>
      <c r="E244" s="11">
        <f>VLOOKUP(B244, [1]PRECIOS_MATERIALES!$A:$C, 3, FALSE)</f>
        <v>60880</v>
      </c>
      <c r="F244" s="30">
        <f t="shared" si="4"/>
        <v>60880</v>
      </c>
      <c r="G244" s="37"/>
    </row>
    <row r="245" spans="1:7" x14ac:dyDescent="0.25">
      <c r="A245" s="8" t="s">
        <v>435</v>
      </c>
      <c r="B245" s="9" t="s">
        <v>436</v>
      </c>
      <c r="C245" s="10" t="s">
        <v>18</v>
      </c>
      <c r="D245" s="10">
        <v>1</v>
      </c>
      <c r="E245" s="11">
        <f>VLOOKUP(B245, [1]PRECIOS_MATERIALES!$A:$C, 3, FALSE)</f>
        <v>67552</v>
      </c>
      <c r="F245" s="30">
        <f t="shared" si="4"/>
        <v>67552</v>
      </c>
      <c r="G245" s="37"/>
    </row>
    <row r="246" spans="1:7" x14ac:dyDescent="0.25">
      <c r="A246" s="8" t="s">
        <v>437</v>
      </c>
      <c r="B246" s="9" t="s">
        <v>438</v>
      </c>
      <c r="C246" s="10" t="s">
        <v>18</v>
      </c>
      <c r="D246" s="10">
        <v>4</v>
      </c>
      <c r="E246" s="11">
        <f>VLOOKUP(B246, [1]PRECIOS_MATERIALES!$A:$C, 3, FALSE)</f>
        <v>162831</v>
      </c>
      <c r="F246" s="30">
        <f t="shared" si="4"/>
        <v>651324</v>
      </c>
      <c r="G246" s="37"/>
    </row>
    <row r="247" spans="1:7" x14ac:dyDescent="0.25">
      <c r="A247" s="8" t="s">
        <v>439</v>
      </c>
      <c r="B247" s="9" t="s">
        <v>440</v>
      </c>
      <c r="C247" s="10" t="s">
        <v>18</v>
      </c>
      <c r="D247" s="10">
        <v>8</v>
      </c>
      <c r="E247" s="11">
        <f>VLOOKUP(B247, [1]PRECIOS_MATERIALES!$A:$C, 3, FALSE)</f>
        <v>8996</v>
      </c>
      <c r="F247" s="30">
        <f t="shared" si="4"/>
        <v>71968</v>
      </c>
      <c r="G247" s="37"/>
    </row>
    <row r="248" spans="1:7" x14ac:dyDescent="0.25">
      <c r="A248" s="12" t="s">
        <v>441</v>
      </c>
      <c r="B248" s="13" t="s">
        <v>442</v>
      </c>
      <c r="C248" s="10"/>
      <c r="D248" s="10"/>
      <c r="E248" s="11"/>
      <c r="F248" s="30">
        <f t="shared" si="4"/>
        <v>0</v>
      </c>
      <c r="G248" s="37" t="s">
        <v>713</v>
      </c>
    </row>
    <row r="249" spans="1:7" x14ac:dyDescent="0.25">
      <c r="A249" s="8" t="s">
        <v>443</v>
      </c>
      <c r="B249" s="9" t="s">
        <v>444</v>
      </c>
      <c r="C249" s="10" t="s">
        <v>18</v>
      </c>
      <c r="D249" s="10">
        <v>18</v>
      </c>
      <c r="E249" s="11">
        <f>VLOOKUP(B249, [1]PRECIOS_MATERIALES!$A:$C, 3, FALSE)</f>
        <v>62160</v>
      </c>
      <c r="F249" s="30">
        <f t="shared" si="4"/>
        <v>1118880</v>
      </c>
      <c r="G249" s="37"/>
    </row>
    <row r="250" spans="1:7" x14ac:dyDescent="0.25">
      <c r="A250" s="8" t="s">
        <v>445</v>
      </c>
      <c r="B250" s="9" t="s">
        <v>446</v>
      </c>
      <c r="C250" s="10" t="s">
        <v>18</v>
      </c>
      <c r="D250" s="10">
        <v>1</v>
      </c>
      <c r="E250" s="11">
        <f>VLOOKUP(B250, [1]PRECIOS_MATERIALES!$A:$C, 3, FALSE)</f>
        <v>75646</v>
      </c>
      <c r="F250" s="30">
        <f t="shared" si="4"/>
        <v>75646</v>
      </c>
      <c r="G250" s="37"/>
    </row>
    <row r="251" spans="1:7" x14ac:dyDescent="0.25">
      <c r="A251" s="8" t="s">
        <v>447</v>
      </c>
      <c r="B251" s="9" t="s">
        <v>440</v>
      </c>
      <c r="C251" s="10" t="s">
        <v>18</v>
      </c>
      <c r="D251" s="10">
        <v>51</v>
      </c>
      <c r="E251" s="11">
        <f>VLOOKUP(B251, [1]PRECIOS_MATERIALES!$A:$C, 3, FALSE)</f>
        <v>8996</v>
      </c>
      <c r="F251" s="30">
        <f t="shared" si="4"/>
        <v>458796</v>
      </c>
      <c r="G251" s="37"/>
    </row>
    <row r="252" spans="1:7" x14ac:dyDescent="0.25">
      <c r="A252" s="8" t="s">
        <v>448</v>
      </c>
      <c r="B252" s="9" t="s">
        <v>449</v>
      </c>
      <c r="C252" s="10" t="s">
        <v>33</v>
      </c>
      <c r="D252" s="10">
        <v>11</v>
      </c>
      <c r="E252" s="11">
        <f>VLOOKUP(B252, [1]PRECIOS_MATERIALES!$A:$C, 3, FALSE)</f>
        <v>26013</v>
      </c>
      <c r="F252" s="30">
        <f t="shared" si="4"/>
        <v>286143</v>
      </c>
      <c r="G252" s="37"/>
    </row>
    <row r="253" spans="1:7" x14ac:dyDescent="0.25">
      <c r="A253" s="8" t="s">
        <v>450</v>
      </c>
      <c r="B253" s="9" t="s">
        <v>451</v>
      </c>
      <c r="C253" s="10" t="s">
        <v>33</v>
      </c>
      <c r="D253" s="10">
        <v>420</v>
      </c>
      <c r="E253" s="11">
        <f>VLOOKUP(B253, [1]PRECIOS_MATERIALES!$A:$C, 3, FALSE)</f>
        <v>14232</v>
      </c>
      <c r="F253" s="30">
        <f t="shared" si="4"/>
        <v>5977440</v>
      </c>
      <c r="G253" s="37"/>
    </row>
    <row r="254" spans="1:7" x14ac:dyDescent="0.25">
      <c r="A254" s="8" t="s">
        <v>452</v>
      </c>
      <c r="B254" s="9" t="s">
        <v>453</v>
      </c>
      <c r="C254" s="10" t="s">
        <v>33</v>
      </c>
      <c r="D254" s="10">
        <v>638</v>
      </c>
      <c r="E254" s="11">
        <f>VLOOKUP(B254, [1]PRECIOS_MATERIALES!$A:$C, 3, FALSE)</f>
        <v>19913</v>
      </c>
      <c r="F254" s="30">
        <f t="shared" si="4"/>
        <v>12704494</v>
      </c>
      <c r="G254" s="37"/>
    </row>
    <row r="255" spans="1:7" x14ac:dyDescent="0.25">
      <c r="A255" s="8" t="s">
        <v>454</v>
      </c>
      <c r="B255" s="9" t="s">
        <v>455</v>
      </c>
      <c r="C255" s="10" t="s">
        <v>33</v>
      </c>
      <c r="D255" s="10">
        <v>222</v>
      </c>
      <c r="E255" s="11">
        <f>VLOOKUP(B255, [1]PRECIOS_MATERIALES!$A:$C, 3, FALSE)</f>
        <v>9179</v>
      </c>
      <c r="F255" s="30">
        <f t="shared" si="4"/>
        <v>2037738</v>
      </c>
      <c r="G255" s="37"/>
    </row>
    <row r="256" spans="1:7" x14ac:dyDescent="0.25">
      <c r="A256" s="12" t="s">
        <v>456</v>
      </c>
      <c r="B256" s="13" t="s">
        <v>457</v>
      </c>
      <c r="C256" s="10"/>
      <c r="D256" s="10"/>
      <c r="E256" s="11"/>
      <c r="F256" s="30">
        <f t="shared" si="4"/>
        <v>0</v>
      </c>
      <c r="G256" s="37" t="s">
        <v>713</v>
      </c>
    </row>
    <row r="257" spans="1:7" x14ac:dyDescent="0.25">
      <c r="A257" s="8" t="s">
        <v>458</v>
      </c>
      <c r="B257" s="9" t="s">
        <v>459</v>
      </c>
      <c r="C257" s="10" t="s">
        <v>18</v>
      </c>
      <c r="D257" s="10">
        <v>6</v>
      </c>
      <c r="E257" s="11">
        <f>VLOOKUP(B257, [1]PRECIOS_MATERIALES!$A:$C, 3, FALSE)</f>
        <v>32348</v>
      </c>
      <c r="F257" s="30">
        <f t="shared" si="4"/>
        <v>194088</v>
      </c>
      <c r="G257" s="37"/>
    </row>
    <row r="258" spans="1:7" x14ac:dyDescent="0.25">
      <c r="A258" s="8" t="s">
        <v>460</v>
      </c>
      <c r="B258" s="9" t="s">
        <v>461</v>
      </c>
      <c r="C258" s="10" t="s">
        <v>18</v>
      </c>
      <c r="D258" s="10">
        <v>2</v>
      </c>
      <c r="E258" s="11">
        <f>VLOOKUP(B258, [1]PRECIOS_MATERIALES!$A:$C, 3, FALSE)</f>
        <v>22492</v>
      </c>
      <c r="F258" s="30">
        <f t="shared" si="4"/>
        <v>44984</v>
      </c>
      <c r="G258" s="37"/>
    </row>
    <row r="259" spans="1:7" x14ac:dyDescent="0.25">
      <c r="A259" s="12" t="s">
        <v>462</v>
      </c>
      <c r="B259" s="13" t="s">
        <v>463</v>
      </c>
      <c r="C259" s="10"/>
      <c r="D259" s="10"/>
      <c r="E259" s="11"/>
      <c r="F259" s="30">
        <f t="shared" si="4"/>
        <v>0</v>
      </c>
      <c r="G259" s="37" t="s">
        <v>713</v>
      </c>
    </row>
    <row r="260" spans="1:7" x14ac:dyDescent="0.25">
      <c r="A260" s="8" t="s">
        <v>464</v>
      </c>
      <c r="B260" s="9" t="s">
        <v>465</v>
      </c>
      <c r="C260" s="10" t="s">
        <v>18</v>
      </c>
      <c r="D260" s="10">
        <v>7</v>
      </c>
      <c r="E260" s="11">
        <f>VLOOKUP(B260, [1]PRECIOS_MATERIALES!$A:$C, 3, FALSE)</f>
        <v>814931</v>
      </c>
      <c r="F260" s="30">
        <f t="shared" si="4"/>
        <v>5704517</v>
      </c>
      <c r="G260" s="37"/>
    </row>
    <row r="261" spans="1:7" x14ac:dyDescent="0.25">
      <c r="A261" s="12" t="s">
        <v>466</v>
      </c>
      <c r="B261" s="13" t="s">
        <v>467</v>
      </c>
      <c r="C261" s="10"/>
      <c r="D261" s="10"/>
      <c r="E261" s="11"/>
      <c r="F261" s="30">
        <f t="shared" si="4"/>
        <v>0</v>
      </c>
      <c r="G261" s="37" t="s">
        <v>713</v>
      </c>
    </row>
    <row r="262" spans="1:7" x14ac:dyDescent="0.25">
      <c r="A262" s="8" t="s">
        <v>468</v>
      </c>
      <c r="B262" s="9" t="s">
        <v>469</v>
      </c>
      <c r="C262" s="10" t="s">
        <v>18</v>
      </c>
      <c r="D262" s="10">
        <v>1</v>
      </c>
      <c r="E262" s="11">
        <f>VLOOKUP(B262, [1]PRECIOS_MATERIALES!$A:$C, 3, FALSE)</f>
        <v>570853</v>
      </c>
      <c r="F262" s="30">
        <f t="shared" si="4"/>
        <v>570853</v>
      </c>
      <c r="G262" s="37"/>
    </row>
    <row r="263" spans="1:7" x14ac:dyDescent="0.25">
      <c r="A263" s="8" t="s">
        <v>470</v>
      </c>
      <c r="B263" s="9" t="s">
        <v>471</v>
      </c>
      <c r="C263" s="10" t="s">
        <v>18</v>
      </c>
      <c r="D263" s="10">
        <v>1</v>
      </c>
      <c r="E263" s="11">
        <f>VLOOKUP(B263, [1]PRECIOS_MATERIALES!$A:$C, 3, FALSE)</f>
        <v>570853</v>
      </c>
      <c r="F263" s="30">
        <f t="shared" si="4"/>
        <v>570853</v>
      </c>
      <c r="G263" s="37"/>
    </row>
    <row r="264" spans="1:7" x14ac:dyDescent="0.25">
      <c r="A264" s="12">
        <v>8</v>
      </c>
      <c r="B264" s="13" t="s">
        <v>472</v>
      </c>
      <c r="C264" s="10"/>
      <c r="D264" s="10"/>
      <c r="E264" s="11"/>
      <c r="F264" s="30">
        <f t="shared" si="4"/>
        <v>0</v>
      </c>
      <c r="G264" s="37" t="s">
        <v>713</v>
      </c>
    </row>
    <row r="265" spans="1:7" x14ac:dyDescent="0.25">
      <c r="A265" s="12" t="s">
        <v>473</v>
      </c>
      <c r="B265" s="13" t="s">
        <v>474</v>
      </c>
      <c r="C265" s="10"/>
      <c r="D265" s="10"/>
      <c r="E265" s="11"/>
      <c r="F265" s="30">
        <f t="shared" si="4"/>
        <v>0</v>
      </c>
      <c r="G265" s="37" t="s">
        <v>713</v>
      </c>
    </row>
    <row r="266" spans="1:7" x14ac:dyDescent="0.25">
      <c r="A266" s="8" t="s">
        <v>475</v>
      </c>
      <c r="B266" s="9" t="s">
        <v>476</v>
      </c>
      <c r="C266" s="10" t="s">
        <v>477</v>
      </c>
      <c r="D266" s="10">
        <v>63.588000000000001</v>
      </c>
      <c r="E266" s="11">
        <f>VLOOKUP(B266, [1]PRECIOS_MATERIALES!$A:$C, 3, FALSE)</f>
        <v>66600</v>
      </c>
      <c r="F266" s="30">
        <f t="shared" si="4"/>
        <v>4234960.8</v>
      </c>
      <c r="G266" s="37"/>
    </row>
    <row r="267" spans="1:7" x14ac:dyDescent="0.25">
      <c r="A267" s="8" t="s">
        <v>478</v>
      </c>
      <c r="B267" s="9" t="s">
        <v>479</v>
      </c>
      <c r="C267" s="10" t="s">
        <v>477</v>
      </c>
      <c r="D267" s="10">
        <v>63.588000000000001</v>
      </c>
      <c r="E267" s="11">
        <f>VLOOKUP(B267, [1]PRECIOS_MATERIALES!$A:$C, 3, FALSE)</f>
        <v>70405</v>
      </c>
      <c r="F267" s="30">
        <f t="shared" si="4"/>
        <v>4476913.1399999997</v>
      </c>
      <c r="G267" s="37"/>
    </row>
    <row r="268" spans="1:7" x14ac:dyDescent="0.25">
      <c r="A268" s="8" t="s">
        <v>480</v>
      </c>
      <c r="B268" s="9" t="s">
        <v>481</v>
      </c>
      <c r="C268" s="10" t="s">
        <v>477</v>
      </c>
      <c r="D268" s="10">
        <v>31.794</v>
      </c>
      <c r="E268" s="11">
        <f>VLOOKUP(B268, [1]PRECIOS_MATERIALES!$A:$C, 3, FALSE)</f>
        <v>82774</v>
      </c>
      <c r="F268" s="30">
        <f t="shared" si="4"/>
        <v>2631716.5559999999</v>
      </c>
      <c r="G268" s="37"/>
    </row>
    <row r="269" spans="1:7" x14ac:dyDescent="0.25">
      <c r="A269" s="12" t="s">
        <v>482</v>
      </c>
      <c r="B269" s="13" t="s">
        <v>483</v>
      </c>
      <c r="C269" s="10"/>
      <c r="D269" s="10"/>
      <c r="E269" s="11"/>
      <c r="F269" s="30">
        <f t="shared" ref="F269:F332" si="5">D269*E269</f>
        <v>0</v>
      </c>
      <c r="G269" s="37" t="s">
        <v>713</v>
      </c>
    </row>
    <row r="270" spans="1:7" x14ac:dyDescent="0.25">
      <c r="A270" s="12" t="s">
        <v>484</v>
      </c>
      <c r="B270" s="13" t="s">
        <v>485</v>
      </c>
      <c r="C270" s="10"/>
      <c r="D270" s="10"/>
      <c r="E270" s="11"/>
      <c r="F270" s="30">
        <f t="shared" si="5"/>
        <v>0</v>
      </c>
      <c r="G270" s="37" t="s">
        <v>713</v>
      </c>
    </row>
    <row r="271" spans="1:7" x14ac:dyDescent="0.25">
      <c r="A271" s="8" t="s">
        <v>486</v>
      </c>
      <c r="B271" s="9" t="s">
        <v>487</v>
      </c>
      <c r="C271" s="10" t="s">
        <v>18</v>
      </c>
      <c r="D271" s="10">
        <v>1</v>
      </c>
      <c r="E271" s="11">
        <f>VLOOKUP(B271, [1]PRECIOS_MATERIALES!$A:$C, 3, FALSE)</f>
        <v>665996</v>
      </c>
      <c r="F271" s="30">
        <f t="shared" si="5"/>
        <v>665996</v>
      </c>
      <c r="G271" s="37"/>
    </row>
    <row r="272" spans="1:7" x14ac:dyDescent="0.25">
      <c r="A272" s="8" t="s">
        <v>488</v>
      </c>
      <c r="B272" s="9" t="s">
        <v>489</v>
      </c>
      <c r="C272" s="10" t="s">
        <v>18</v>
      </c>
      <c r="D272" s="10">
        <v>1</v>
      </c>
      <c r="E272" s="11">
        <f>VLOOKUP(B272, [1]PRECIOS_MATERIALES!$A:$C, 3, FALSE)</f>
        <v>87150</v>
      </c>
      <c r="F272" s="30">
        <f t="shared" si="5"/>
        <v>87150</v>
      </c>
      <c r="G272" s="37"/>
    </row>
    <row r="273" spans="1:7" x14ac:dyDescent="0.25">
      <c r="A273" s="12" t="s">
        <v>490</v>
      </c>
      <c r="B273" s="13" t="s">
        <v>491</v>
      </c>
      <c r="C273" s="10"/>
      <c r="D273" s="10"/>
      <c r="E273" s="11"/>
      <c r="F273" s="30">
        <f t="shared" si="5"/>
        <v>0</v>
      </c>
      <c r="G273" s="37" t="s">
        <v>713</v>
      </c>
    </row>
    <row r="274" spans="1:7" x14ac:dyDescent="0.25">
      <c r="A274" s="12" t="s">
        <v>492</v>
      </c>
      <c r="B274" s="13" t="s">
        <v>493</v>
      </c>
      <c r="C274" s="10"/>
      <c r="D274" s="10"/>
      <c r="E274" s="11"/>
      <c r="F274" s="30">
        <f t="shared" si="5"/>
        <v>0</v>
      </c>
      <c r="G274" s="37" t="s">
        <v>713</v>
      </c>
    </row>
    <row r="275" spans="1:7" x14ac:dyDescent="0.25">
      <c r="A275" s="8" t="s">
        <v>494</v>
      </c>
      <c r="B275" s="9" t="s">
        <v>495</v>
      </c>
      <c r="C275" s="10" t="s">
        <v>33</v>
      </c>
      <c r="D275" s="10">
        <v>1</v>
      </c>
      <c r="E275" s="11">
        <f>VLOOKUP(B275, [1]PRECIOS_MATERIALES!$A:$C, 3, FALSE)</f>
        <v>25556</v>
      </c>
      <c r="F275" s="30">
        <f t="shared" si="5"/>
        <v>25556</v>
      </c>
      <c r="G275" s="37"/>
    </row>
    <row r="276" spans="1:7" x14ac:dyDescent="0.25">
      <c r="A276" s="8" t="s">
        <v>496</v>
      </c>
      <c r="B276" s="9" t="s">
        <v>497</v>
      </c>
      <c r="C276" s="10" t="s">
        <v>33</v>
      </c>
      <c r="D276" s="10">
        <v>109.13</v>
      </c>
      <c r="E276" s="11">
        <f>VLOOKUP(B276, [1]PRECIOS_MATERIALES!$A:$C, 3, FALSE)</f>
        <v>17932</v>
      </c>
      <c r="F276" s="30">
        <f t="shared" si="5"/>
        <v>1956919.16</v>
      </c>
      <c r="G276" s="37"/>
    </row>
    <row r="277" spans="1:7" x14ac:dyDescent="0.25">
      <c r="A277" s="8" t="s">
        <v>498</v>
      </c>
      <c r="B277" s="9" t="s">
        <v>499</v>
      </c>
      <c r="C277" s="10" t="s">
        <v>33</v>
      </c>
      <c r="D277" s="10">
        <v>1</v>
      </c>
      <c r="E277" s="11">
        <f>VLOOKUP(B277, [1]PRECIOS_MATERIALES!$A:$C, 3, FALSE)</f>
        <v>11336</v>
      </c>
      <c r="F277" s="30">
        <f t="shared" si="5"/>
        <v>11336</v>
      </c>
      <c r="G277" s="37"/>
    </row>
    <row r="278" spans="1:7" x14ac:dyDescent="0.25">
      <c r="A278" s="40" t="s">
        <v>500</v>
      </c>
      <c r="B278" s="41" t="s">
        <v>501</v>
      </c>
      <c r="C278" s="42"/>
      <c r="D278" s="42"/>
      <c r="E278" s="43"/>
      <c r="F278" s="44">
        <f t="shared" si="5"/>
        <v>0</v>
      </c>
      <c r="G278" s="39" t="s">
        <v>711</v>
      </c>
    </row>
    <row r="279" spans="1:7" x14ac:dyDescent="0.25">
      <c r="A279" s="8" t="s">
        <v>502</v>
      </c>
      <c r="B279" s="9" t="s">
        <v>503</v>
      </c>
      <c r="C279" s="10" t="s">
        <v>33</v>
      </c>
      <c r="D279" s="10">
        <v>1</v>
      </c>
      <c r="E279" s="11">
        <f>VLOOKUP(B279, [1]PRECIOS_MATERIALES!$A:$C, 3, FALSE)</f>
        <v>3886</v>
      </c>
      <c r="F279" s="30">
        <f t="shared" si="5"/>
        <v>3886</v>
      </c>
      <c r="G279" s="37"/>
    </row>
    <row r="280" spans="1:7" x14ac:dyDescent="0.25">
      <c r="A280" s="8" t="s">
        <v>504</v>
      </c>
      <c r="B280" s="9" t="s">
        <v>505</v>
      </c>
      <c r="C280" s="10" t="s">
        <v>33</v>
      </c>
      <c r="D280" s="10">
        <v>1</v>
      </c>
      <c r="E280" s="11">
        <f>VLOOKUP(B280, [1]PRECIOS_MATERIALES!$A:$C, 3, FALSE)</f>
        <v>1183</v>
      </c>
      <c r="F280" s="30">
        <f t="shared" si="5"/>
        <v>1183</v>
      </c>
      <c r="G280" s="37"/>
    </row>
    <row r="281" spans="1:7" x14ac:dyDescent="0.25">
      <c r="A281" s="12" t="s">
        <v>506</v>
      </c>
      <c r="B281" s="13" t="s">
        <v>133</v>
      </c>
      <c r="C281" s="10"/>
      <c r="D281" s="10"/>
      <c r="E281" s="11"/>
      <c r="F281" s="30">
        <f t="shared" si="5"/>
        <v>0</v>
      </c>
      <c r="G281" s="37" t="s">
        <v>713</v>
      </c>
    </row>
    <row r="282" spans="1:7" x14ac:dyDescent="0.25">
      <c r="A282" s="8" t="s">
        <v>507</v>
      </c>
      <c r="B282" s="9" t="s">
        <v>508</v>
      </c>
      <c r="C282" s="10" t="s">
        <v>18</v>
      </c>
      <c r="D282" s="10">
        <v>1</v>
      </c>
      <c r="E282" s="11">
        <f>VLOOKUP(B282, [1]PRECIOS_MATERIALES!$A:$C, 3, FALSE)</f>
        <v>85628</v>
      </c>
      <c r="F282" s="30">
        <f t="shared" si="5"/>
        <v>85628</v>
      </c>
      <c r="G282" s="37"/>
    </row>
    <row r="283" spans="1:7" x14ac:dyDescent="0.25">
      <c r="A283" s="8" t="s">
        <v>509</v>
      </c>
      <c r="B283" s="9" t="s">
        <v>510</v>
      </c>
      <c r="C283" s="10" t="s">
        <v>18</v>
      </c>
      <c r="D283" s="10">
        <v>3</v>
      </c>
      <c r="E283" s="11">
        <f>VLOOKUP(B283, [1]PRECIOS_MATERIALES!$A:$C, 3, FALSE)</f>
        <v>51358</v>
      </c>
      <c r="F283" s="30">
        <f t="shared" si="5"/>
        <v>154074</v>
      </c>
      <c r="G283" s="37"/>
    </row>
    <row r="284" spans="1:7" x14ac:dyDescent="0.25">
      <c r="A284" s="8" t="s">
        <v>511</v>
      </c>
      <c r="B284" s="9" t="s">
        <v>512</v>
      </c>
      <c r="C284" s="10" t="s">
        <v>18</v>
      </c>
      <c r="D284" s="10">
        <v>1</v>
      </c>
      <c r="E284" s="11">
        <f>VLOOKUP(B284, [1]PRECIOS_MATERIALES!$A:$C, 3, FALSE)</f>
        <v>30446</v>
      </c>
      <c r="F284" s="30">
        <f t="shared" si="5"/>
        <v>30446</v>
      </c>
      <c r="G284" s="37"/>
    </row>
    <row r="285" spans="1:7" x14ac:dyDescent="0.25">
      <c r="A285" s="8" t="s">
        <v>513</v>
      </c>
      <c r="B285" s="9" t="s">
        <v>514</v>
      </c>
      <c r="C285" s="10" t="s">
        <v>18</v>
      </c>
      <c r="D285" s="10">
        <v>6</v>
      </c>
      <c r="E285" s="11">
        <f>VLOOKUP(B285, [1]PRECIOS_MATERIALES!$A:$C, 3, FALSE)</f>
        <v>1998</v>
      </c>
      <c r="F285" s="30">
        <f t="shared" si="5"/>
        <v>11988</v>
      </c>
      <c r="G285" s="37"/>
    </row>
    <row r="286" spans="1:7" x14ac:dyDescent="0.25">
      <c r="A286" s="12" t="s">
        <v>515</v>
      </c>
      <c r="B286" s="13" t="s">
        <v>516</v>
      </c>
      <c r="C286" s="10"/>
      <c r="D286" s="10"/>
      <c r="E286" s="11"/>
      <c r="F286" s="30">
        <f t="shared" si="5"/>
        <v>0</v>
      </c>
      <c r="G286" s="37" t="s">
        <v>713</v>
      </c>
    </row>
    <row r="287" spans="1:7" x14ac:dyDescent="0.25">
      <c r="A287" s="12" t="s">
        <v>517</v>
      </c>
      <c r="B287" s="13" t="s">
        <v>518</v>
      </c>
      <c r="C287" s="10"/>
      <c r="D287" s="10"/>
      <c r="E287" s="11"/>
      <c r="F287" s="30">
        <f t="shared" si="5"/>
        <v>0</v>
      </c>
      <c r="G287" s="37" t="s">
        <v>713</v>
      </c>
    </row>
    <row r="288" spans="1:7" x14ac:dyDescent="0.25">
      <c r="A288" s="8" t="s">
        <v>519</v>
      </c>
      <c r="B288" s="9" t="s">
        <v>520</v>
      </c>
      <c r="C288" s="10" t="s">
        <v>33</v>
      </c>
      <c r="D288" s="10">
        <v>15</v>
      </c>
      <c r="E288" s="11">
        <f>VLOOKUP(B288, [1]PRECIOS_MATERIALES!$A:$C, 3, FALSE)</f>
        <v>1376</v>
      </c>
      <c r="F288" s="30">
        <f t="shared" si="5"/>
        <v>20640</v>
      </c>
      <c r="G288" s="37"/>
    </row>
    <row r="289" spans="1:12" x14ac:dyDescent="0.25">
      <c r="A289" s="12" t="s">
        <v>521</v>
      </c>
      <c r="B289" s="13" t="s">
        <v>522</v>
      </c>
      <c r="C289" s="10"/>
      <c r="D289" s="10"/>
      <c r="E289" s="11"/>
      <c r="F289" s="30">
        <f t="shared" si="5"/>
        <v>0</v>
      </c>
      <c r="G289" s="37" t="s">
        <v>713</v>
      </c>
    </row>
    <row r="290" spans="1:12" x14ac:dyDescent="0.25">
      <c r="A290" s="8" t="s">
        <v>523</v>
      </c>
      <c r="B290" s="9" t="s">
        <v>524</v>
      </c>
      <c r="C290" s="10" t="s">
        <v>18</v>
      </c>
      <c r="D290" s="10">
        <v>1</v>
      </c>
      <c r="E290" s="11">
        <f>VLOOKUP(B290, [1]PRECIOS_MATERIALES!$A:$C, 3, FALSE)</f>
        <v>951422</v>
      </c>
      <c r="F290" s="30">
        <f t="shared" si="5"/>
        <v>951422</v>
      </c>
      <c r="G290" s="37"/>
    </row>
    <row r="291" spans="1:12" x14ac:dyDescent="0.25">
      <c r="A291" s="8" t="s">
        <v>525</v>
      </c>
      <c r="B291" s="9" t="s">
        <v>526</v>
      </c>
      <c r="C291" s="10" t="s">
        <v>18</v>
      </c>
      <c r="D291" s="10">
        <v>1</v>
      </c>
      <c r="E291" s="11">
        <f>VLOOKUP(B291, [1]PRECIOS_MATERIALES!$A:$C, 3, FALSE)</f>
        <v>871503</v>
      </c>
      <c r="F291" s="30">
        <f t="shared" si="5"/>
        <v>871503</v>
      </c>
      <c r="G291" s="37"/>
    </row>
    <row r="292" spans="1:12" x14ac:dyDescent="0.25">
      <c r="A292" s="12">
        <v>9</v>
      </c>
      <c r="B292" s="13" t="s">
        <v>527</v>
      </c>
      <c r="C292" s="10"/>
      <c r="D292" s="10"/>
      <c r="E292" s="11"/>
      <c r="F292" s="30">
        <f t="shared" si="5"/>
        <v>0</v>
      </c>
      <c r="G292" s="37" t="s">
        <v>713</v>
      </c>
    </row>
    <row r="293" spans="1:12" x14ac:dyDescent="0.25">
      <c r="A293" s="12" t="s">
        <v>528</v>
      </c>
      <c r="B293" s="13" t="s">
        <v>529</v>
      </c>
      <c r="C293" s="10"/>
      <c r="D293" s="10"/>
      <c r="E293" s="11"/>
      <c r="F293" s="30">
        <f t="shared" si="5"/>
        <v>0</v>
      </c>
      <c r="G293" s="37" t="s">
        <v>713</v>
      </c>
    </row>
    <row r="294" spans="1:12" x14ac:dyDescent="0.25">
      <c r="A294" s="8" t="s">
        <v>530</v>
      </c>
      <c r="B294" s="9" t="s">
        <v>531</v>
      </c>
      <c r="C294" s="10" t="s">
        <v>10</v>
      </c>
      <c r="D294" s="10">
        <v>1</v>
      </c>
      <c r="E294" s="11">
        <f>VLOOKUP(B294, [1]PRECIOS_GENERALES!$A:$C, 3, FALSE)</f>
        <v>11417069</v>
      </c>
      <c r="F294" s="30">
        <f t="shared" si="5"/>
        <v>11417069</v>
      </c>
      <c r="G294" s="37"/>
      <c r="L294">
        <f>SUM(D300,D301,)</f>
        <v>199.5</v>
      </c>
    </row>
    <row r="295" spans="1:12" x14ac:dyDescent="0.25">
      <c r="A295" s="8" t="s">
        <v>532</v>
      </c>
      <c r="B295" s="9" t="s">
        <v>533</v>
      </c>
      <c r="C295" s="10" t="s">
        <v>534</v>
      </c>
      <c r="D295" s="10">
        <v>166.25</v>
      </c>
      <c r="E295" s="11">
        <f>VLOOKUP(B295, [1]PRECIOS_MATERIALES!$A:$C, 3, FALSE)</f>
        <v>14271</v>
      </c>
      <c r="F295" s="30">
        <f t="shared" si="5"/>
        <v>2372553.75</v>
      </c>
      <c r="G295" s="37"/>
    </row>
    <row r="296" spans="1:12" x14ac:dyDescent="0.25">
      <c r="A296" s="8" t="s">
        <v>535</v>
      </c>
      <c r="B296" s="9" t="s">
        <v>536</v>
      </c>
      <c r="C296" s="10" t="s">
        <v>33</v>
      </c>
      <c r="D296" s="10">
        <v>166.25</v>
      </c>
      <c r="E296" s="11">
        <f>VLOOKUP(B296, [1]PRECIOS_MATERIALES!$A:$C, 3, FALSE)</f>
        <v>24261</v>
      </c>
      <c r="F296" s="30">
        <f t="shared" si="5"/>
        <v>4033391.25</v>
      </c>
      <c r="G296" s="37"/>
    </row>
    <row r="297" spans="1:12" x14ac:dyDescent="0.25">
      <c r="A297" s="8" t="s">
        <v>537</v>
      </c>
      <c r="B297" s="9" t="s">
        <v>538</v>
      </c>
      <c r="C297" s="10" t="s">
        <v>477</v>
      </c>
      <c r="D297" s="10">
        <v>83.125</v>
      </c>
      <c r="E297" s="11">
        <f>VLOOKUP(B297, [1]PRECIOS_MATERIALES!$A:$C, 3, FALSE)</f>
        <v>94667</v>
      </c>
      <c r="F297" s="30">
        <f t="shared" si="5"/>
        <v>7869194.375</v>
      </c>
      <c r="G297" s="37"/>
    </row>
    <row r="298" spans="1:12" x14ac:dyDescent="0.25">
      <c r="A298" s="12" t="s">
        <v>539</v>
      </c>
      <c r="B298" s="13" t="s">
        <v>540</v>
      </c>
      <c r="C298" s="10"/>
      <c r="D298" s="10"/>
      <c r="E298" s="11"/>
      <c r="F298" s="30">
        <f t="shared" si="5"/>
        <v>0</v>
      </c>
      <c r="G298" s="37" t="s">
        <v>713</v>
      </c>
    </row>
    <row r="299" spans="1:12" x14ac:dyDescent="0.25">
      <c r="A299" s="12" t="s">
        <v>541</v>
      </c>
      <c r="B299" s="13" t="s">
        <v>542</v>
      </c>
      <c r="C299" s="10"/>
      <c r="D299" s="10"/>
      <c r="E299" s="11"/>
      <c r="F299" s="30">
        <f t="shared" si="5"/>
        <v>0</v>
      </c>
      <c r="G299" s="37" t="s">
        <v>713</v>
      </c>
    </row>
    <row r="300" spans="1:12" x14ac:dyDescent="0.25">
      <c r="A300" s="8" t="s">
        <v>543</v>
      </c>
      <c r="B300" s="9" t="s">
        <v>544</v>
      </c>
      <c r="C300" s="10" t="s">
        <v>477</v>
      </c>
      <c r="D300" s="10">
        <v>99.75</v>
      </c>
      <c r="E300" s="11">
        <f>VLOOKUP(B300, [1]PRECIOS_MATERIALES!$A:$C, 3, FALSE)</f>
        <v>66600</v>
      </c>
      <c r="F300" s="30">
        <f t="shared" si="5"/>
        <v>6643350</v>
      </c>
      <c r="G300" s="37"/>
    </row>
    <row r="301" spans="1:12" x14ac:dyDescent="0.25">
      <c r="A301" s="8" t="s">
        <v>545</v>
      </c>
      <c r="B301" s="9" t="s">
        <v>546</v>
      </c>
      <c r="C301" s="10" t="s">
        <v>477</v>
      </c>
      <c r="D301" s="10">
        <v>99.75</v>
      </c>
      <c r="E301" s="11">
        <f>VLOOKUP(B301, [1]PRECIOS_MATERIALES!$A:$C, 3, FALSE)</f>
        <v>66600</v>
      </c>
      <c r="F301" s="30">
        <f t="shared" si="5"/>
        <v>6643350</v>
      </c>
      <c r="G301" s="37"/>
    </row>
    <row r="302" spans="1:12" x14ac:dyDescent="0.25">
      <c r="A302" s="8" t="s">
        <v>547</v>
      </c>
      <c r="B302" s="9" t="s">
        <v>548</v>
      </c>
      <c r="C302" s="10" t="s">
        <v>477</v>
      </c>
      <c r="D302" s="10">
        <v>199.5</v>
      </c>
      <c r="E302" s="11">
        <f>VLOOKUP(B302, [1]PRECIOS_MATERIALES!$A:$C, 3, FALSE)</f>
        <v>82774</v>
      </c>
      <c r="F302" s="30">
        <f t="shared" si="5"/>
        <v>16513413</v>
      </c>
      <c r="G302" s="37"/>
    </row>
    <row r="303" spans="1:12" x14ac:dyDescent="0.25">
      <c r="A303" s="8" t="s">
        <v>549</v>
      </c>
      <c r="B303" s="9" t="s">
        <v>550</v>
      </c>
      <c r="C303" s="10" t="s">
        <v>477</v>
      </c>
      <c r="D303" s="10">
        <v>83.125</v>
      </c>
      <c r="E303" s="11">
        <f>VLOOKUP(B303, [1]PRECIOS_MATERIALES!$A:$C, 3, FALSE)</f>
        <v>70405</v>
      </c>
      <c r="F303" s="30">
        <f t="shared" si="5"/>
        <v>5852415.625</v>
      </c>
      <c r="G303" s="37"/>
    </row>
    <row r="304" spans="1:12" x14ac:dyDescent="0.25">
      <c r="A304" s="12" t="s">
        <v>551</v>
      </c>
      <c r="B304" s="13" t="s">
        <v>552</v>
      </c>
      <c r="C304" s="10"/>
      <c r="D304" s="10"/>
      <c r="E304" s="11"/>
      <c r="F304" s="30">
        <f t="shared" si="5"/>
        <v>0</v>
      </c>
      <c r="G304" s="37" t="s">
        <v>713</v>
      </c>
    </row>
    <row r="305" spans="1:7" x14ac:dyDescent="0.25">
      <c r="A305" s="8" t="s">
        <v>553</v>
      </c>
      <c r="B305" s="9" t="s">
        <v>554</v>
      </c>
      <c r="C305" s="10" t="s">
        <v>477</v>
      </c>
      <c r="D305" s="10">
        <v>1</v>
      </c>
      <c r="E305" s="11">
        <f>VLOOKUP(B305, [1]PRECIOS_MATERIALES!$A:$C, 3, FALSE)</f>
        <v>283238</v>
      </c>
      <c r="F305" s="30">
        <f t="shared" si="5"/>
        <v>283238</v>
      </c>
      <c r="G305" s="37"/>
    </row>
    <row r="306" spans="1:7" x14ac:dyDescent="0.25">
      <c r="A306" s="8" t="s">
        <v>555</v>
      </c>
      <c r="B306" s="9" t="s">
        <v>556</v>
      </c>
      <c r="C306" s="10" t="s">
        <v>557</v>
      </c>
      <c r="D306" s="10">
        <v>80</v>
      </c>
      <c r="E306" s="11">
        <f>VLOOKUP(B306, [1]PRECIOS_MATERIALES!$A:$C, 3, FALSE)</f>
        <v>5138</v>
      </c>
      <c r="F306" s="30">
        <f t="shared" si="5"/>
        <v>411040</v>
      </c>
      <c r="G306" s="37"/>
    </row>
    <row r="307" spans="1:7" x14ac:dyDescent="0.25">
      <c r="A307" s="8" t="s">
        <v>558</v>
      </c>
      <c r="B307" s="9" t="s">
        <v>559</v>
      </c>
      <c r="C307" s="10" t="s">
        <v>477</v>
      </c>
      <c r="D307" s="10">
        <v>4</v>
      </c>
      <c r="E307" s="11">
        <f>VLOOKUP(B307, [1]PRECIOS_MATERIALES!$A:$C, 3, FALSE)</f>
        <v>789395</v>
      </c>
      <c r="F307" s="30">
        <f t="shared" si="5"/>
        <v>3157580</v>
      </c>
      <c r="G307" s="37"/>
    </row>
    <row r="308" spans="1:7" x14ac:dyDescent="0.25">
      <c r="A308" s="12" t="s">
        <v>560</v>
      </c>
      <c r="B308" s="13" t="s">
        <v>561</v>
      </c>
      <c r="C308" s="10"/>
      <c r="D308" s="10"/>
      <c r="E308" s="11"/>
      <c r="F308" s="30">
        <f t="shared" si="5"/>
        <v>0</v>
      </c>
      <c r="G308" s="37" t="s">
        <v>713</v>
      </c>
    </row>
    <row r="309" spans="1:7" x14ac:dyDescent="0.25">
      <c r="A309" s="8" t="s">
        <v>562</v>
      </c>
      <c r="B309" s="9" t="s">
        <v>563</v>
      </c>
      <c r="C309" s="10" t="s">
        <v>534</v>
      </c>
      <c r="D309" s="10">
        <v>166.25</v>
      </c>
      <c r="E309" s="11">
        <f>VLOOKUP(B309, [1]PRECIOS_MATERIALES!$A:$C, 3, FALSE)</f>
        <v>58037</v>
      </c>
      <c r="F309" s="30">
        <f t="shared" si="5"/>
        <v>9648651.25</v>
      </c>
      <c r="G309" s="37"/>
    </row>
    <row r="310" spans="1:7" x14ac:dyDescent="0.25">
      <c r="A310" s="8" t="s">
        <v>564</v>
      </c>
      <c r="B310" s="9" t="s">
        <v>565</v>
      </c>
      <c r="C310" s="10" t="s">
        <v>477</v>
      </c>
      <c r="D310" s="10">
        <v>58.125</v>
      </c>
      <c r="E310" s="11">
        <f>VLOOKUP(B310, [1]PRECIOS_MATERIALES!$A:$C, 3, FALSE)</f>
        <v>257550</v>
      </c>
      <c r="F310" s="30">
        <f t="shared" si="5"/>
        <v>14970093.75</v>
      </c>
      <c r="G310" s="37"/>
    </row>
    <row r="311" spans="1:7" x14ac:dyDescent="0.25">
      <c r="A311" s="12" t="s">
        <v>566</v>
      </c>
      <c r="B311" s="13" t="s">
        <v>567</v>
      </c>
      <c r="C311" s="10"/>
      <c r="D311" s="10"/>
      <c r="E311" s="11"/>
      <c r="F311" s="30"/>
      <c r="G311" s="37" t="s">
        <v>713</v>
      </c>
    </row>
    <row r="312" spans="1:7" x14ac:dyDescent="0.25">
      <c r="A312" s="12" t="s">
        <v>568</v>
      </c>
      <c r="B312" s="13" t="s">
        <v>569</v>
      </c>
      <c r="C312" s="10"/>
      <c r="D312" s="10"/>
      <c r="E312" s="11"/>
      <c r="F312" s="30">
        <f t="shared" si="5"/>
        <v>0</v>
      </c>
      <c r="G312" s="37" t="s">
        <v>713</v>
      </c>
    </row>
    <row r="313" spans="1:7" x14ac:dyDescent="0.25">
      <c r="A313" s="8" t="s">
        <v>570</v>
      </c>
      <c r="B313" s="9" t="s">
        <v>571</v>
      </c>
      <c r="C313" s="10" t="s">
        <v>557</v>
      </c>
      <c r="D313" s="10">
        <v>20</v>
      </c>
      <c r="E313" s="11">
        <f>VLOOKUP(B313, [1]PRECIOS_MATERIALES!$A:$C, 3, FALSE)</f>
        <v>6660</v>
      </c>
      <c r="F313" s="30">
        <f t="shared" si="5"/>
        <v>133200</v>
      </c>
      <c r="G313" s="37"/>
    </row>
    <row r="314" spans="1:7" x14ac:dyDescent="0.25">
      <c r="A314" s="8" t="s">
        <v>572</v>
      </c>
      <c r="B314" s="9" t="s">
        <v>573</v>
      </c>
      <c r="C314" s="10" t="s">
        <v>557</v>
      </c>
      <c r="D314" s="10">
        <v>3850</v>
      </c>
      <c r="E314" s="11">
        <f>VLOOKUP(B314, [1]PRECIOS_MATERIALES!$A:$C, 3, FALSE)</f>
        <v>6660</v>
      </c>
      <c r="F314" s="30">
        <f t="shared" si="5"/>
        <v>25641000</v>
      </c>
      <c r="G314" s="37"/>
    </row>
    <row r="315" spans="1:7" x14ac:dyDescent="0.25">
      <c r="A315" s="8" t="s">
        <v>574</v>
      </c>
      <c r="B315" s="9" t="s">
        <v>575</v>
      </c>
      <c r="C315" s="10" t="s">
        <v>557</v>
      </c>
      <c r="D315" s="10">
        <v>5978</v>
      </c>
      <c r="E315" s="11">
        <f>VLOOKUP(B315, [1]PRECIOS_MATERIALES!$A:$C, 3, FALSE)</f>
        <v>6660</v>
      </c>
      <c r="F315" s="30">
        <f t="shared" si="5"/>
        <v>39813480</v>
      </c>
      <c r="G315" s="37"/>
    </row>
    <row r="316" spans="1:7" x14ac:dyDescent="0.25">
      <c r="A316" s="8" t="s">
        <v>576</v>
      </c>
      <c r="B316" s="9" t="s">
        <v>577</v>
      </c>
      <c r="C316" s="10" t="s">
        <v>557</v>
      </c>
      <c r="D316" s="10">
        <v>350</v>
      </c>
      <c r="E316" s="11">
        <f>VLOOKUP(B316, [1]PRECIOS_MATERIALES!$A:$C, 3, FALSE)</f>
        <v>6660</v>
      </c>
      <c r="F316" s="30">
        <f t="shared" si="5"/>
        <v>2331000</v>
      </c>
      <c r="G316" s="37"/>
    </row>
    <row r="317" spans="1:7" x14ac:dyDescent="0.25">
      <c r="A317" s="8" t="s">
        <v>578</v>
      </c>
      <c r="B317" s="9" t="s">
        <v>579</v>
      </c>
      <c r="C317" s="10" t="s">
        <v>557</v>
      </c>
      <c r="D317" s="10">
        <v>2580</v>
      </c>
      <c r="E317" s="11">
        <f>VLOOKUP(B317, [1]PRECIOS_MATERIALES!$A:$C, 3, FALSE)</f>
        <v>6660</v>
      </c>
      <c r="F317" s="30">
        <f t="shared" si="5"/>
        <v>17182800</v>
      </c>
      <c r="G317" s="37"/>
    </row>
    <row r="318" spans="1:7" x14ac:dyDescent="0.25">
      <c r="A318" s="12" t="s">
        <v>580</v>
      </c>
      <c r="B318" s="13" t="s">
        <v>581</v>
      </c>
      <c r="C318" s="10"/>
      <c r="D318" s="10"/>
      <c r="E318" s="11"/>
      <c r="F318" s="30">
        <f t="shared" si="5"/>
        <v>0</v>
      </c>
      <c r="G318" s="37" t="s">
        <v>713</v>
      </c>
    </row>
    <row r="319" spans="1:7" x14ac:dyDescent="0.25">
      <c r="A319" s="8" t="s">
        <v>582</v>
      </c>
      <c r="B319" s="9" t="s">
        <v>583</v>
      </c>
      <c r="C319" s="10" t="s">
        <v>477</v>
      </c>
      <c r="D319" s="10">
        <v>87.76</v>
      </c>
      <c r="E319" s="11">
        <f>VLOOKUP(B319, [1]PRECIOS_MATERIALES!$A:$C, 3, FALSE)</f>
        <v>319678</v>
      </c>
      <c r="F319" s="30">
        <f t="shared" si="5"/>
        <v>28054941.280000001</v>
      </c>
      <c r="G319" s="37"/>
    </row>
    <row r="320" spans="1:7" x14ac:dyDescent="0.25">
      <c r="A320" s="8" t="s">
        <v>584</v>
      </c>
      <c r="B320" s="9" t="s">
        <v>577</v>
      </c>
      <c r="C320" s="10" t="s">
        <v>477</v>
      </c>
      <c r="D320" s="10">
        <v>5.46</v>
      </c>
      <c r="E320" s="11">
        <f>VLOOKUP(B320, [1]PRECIOS_MATERIALES!$A:$C, 3, FALSE)</f>
        <v>6660</v>
      </c>
      <c r="F320" s="30">
        <f t="shared" si="5"/>
        <v>36363.599999999999</v>
      </c>
      <c r="G320" s="37"/>
    </row>
    <row r="321" spans="1:7" x14ac:dyDescent="0.25">
      <c r="A321" s="8" t="s">
        <v>585</v>
      </c>
      <c r="B321" s="9" t="s">
        <v>579</v>
      </c>
      <c r="C321" s="10" t="s">
        <v>477</v>
      </c>
      <c r="D321" s="10">
        <v>34.875</v>
      </c>
      <c r="E321" s="11">
        <f>VLOOKUP(B321, [1]PRECIOS_MATERIALES!$A:$C, 3, FALSE)</f>
        <v>6660</v>
      </c>
      <c r="F321" s="30">
        <f t="shared" si="5"/>
        <v>232267.5</v>
      </c>
      <c r="G321" s="37"/>
    </row>
    <row r="322" spans="1:7" x14ac:dyDescent="0.25">
      <c r="A322" s="12" t="s">
        <v>586</v>
      </c>
      <c r="B322" s="13" t="s">
        <v>587</v>
      </c>
      <c r="C322" s="10"/>
      <c r="D322" s="10"/>
      <c r="E322" s="11"/>
      <c r="F322" s="30">
        <f t="shared" si="5"/>
        <v>0</v>
      </c>
      <c r="G322" s="37" t="s">
        <v>713</v>
      </c>
    </row>
    <row r="323" spans="1:7" x14ac:dyDescent="0.25">
      <c r="A323" s="12" t="s">
        <v>588</v>
      </c>
      <c r="B323" s="13" t="s">
        <v>589</v>
      </c>
      <c r="C323" s="10"/>
      <c r="D323" s="10"/>
      <c r="E323" s="11"/>
      <c r="F323" s="30">
        <f t="shared" si="5"/>
        <v>0</v>
      </c>
      <c r="G323" s="37" t="s">
        <v>713</v>
      </c>
    </row>
    <row r="324" spans="1:7" x14ac:dyDescent="0.25">
      <c r="A324" s="8" t="s">
        <v>590</v>
      </c>
      <c r="B324" s="9" t="s">
        <v>591</v>
      </c>
      <c r="C324" s="10" t="s">
        <v>534</v>
      </c>
      <c r="D324" s="10">
        <v>284</v>
      </c>
      <c r="E324" s="11">
        <f>VLOOKUP(B324, [1]PRECIOS_MATERIALES!$A:$C, 3, FALSE)</f>
        <v>58967</v>
      </c>
      <c r="F324" s="30">
        <f t="shared" si="5"/>
        <v>16746628</v>
      </c>
      <c r="G324" s="37"/>
    </row>
    <row r="325" spans="1:7" x14ac:dyDescent="0.25">
      <c r="A325" s="8" t="s">
        <v>592</v>
      </c>
      <c r="B325" s="9" t="s">
        <v>577</v>
      </c>
      <c r="C325" s="10" t="s">
        <v>534</v>
      </c>
      <c r="D325" s="10">
        <v>18</v>
      </c>
      <c r="E325" s="11">
        <f>VLOOKUP(B325, [1]PRECIOS_MATERIALES!$A:$C, 3, FALSE)</f>
        <v>6660</v>
      </c>
      <c r="F325" s="30">
        <f t="shared" si="5"/>
        <v>119880</v>
      </c>
      <c r="G325" s="37"/>
    </row>
    <row r="326" spans="1:7" x14ac:dyDescent="0.25">
      <c r="A326" s="8" t="s">
        <v>593</v>
      </c>
      <c r="B326" s="9" t="s">
        <v>579</v>
      </c>
      <c r="C326" s="10" t="s">
        <v>534</v>
      </c>
      <c r="D326" s="10">
        <v>25.43</v>
      </c>
      <c r="E326" s="11">
        <f>VLOOKUP(B326, [1]PRECIOS_MATERIALES!$A:$C, 3, FALSE)</f>
        <v>6660</v>
      </c>
      <c r="F326" s="30">
        <f t="shared" si="5"/>
        <v>169363.8</v>
      </c>
      <c r="G326" s="37"/>
    </row>
    <row r="327" spans="1:7" x14ac:dyDescent="0.25">
      <c r="A327" s="8" t="s">
        <v>594</v>
      </c>
      <c r="B327" s="9" t="s">
        <v>595</v>
      </c>
      <c r="C327" s="10"/>
      <c r="D327" s="10"/>
      <c r="E327" s="11"/>
      <c r="F327" s="30">
        <f t="shared" si="5"/>
        <v>0</v>
      </c>
      <c r="G327" s="37" t="s">
        <v>713</v>
      </c>
    </row>
    <row r="328" spans="1:7" x14ac:dyDescent="0.25">
      <c r="A328" s="8" t="s">
        <v>596</v>
      </c>
      <c r="B328" s="9" t="s">
        <v>597</v>
      </c>
      <c r="C328" s="10" t="s">
        <v>557</v>
      </c>
      <c r="D328" s="10">
        <v>150</v>
      </c>
      <c r="E328" s="11">
        <f>VLOOKUP(B328, [1]PRECIOS_MATERIALES!$A:$C, 3, FALSE)</f>
        <v>20400</v>
      </c>
      <c r="F328" s="30">
        <f t="shared" si="5"/>
        <v>3060000</v>
      </c>
      <c r="G328" s="37"/>
    </row>
    <row r="329" spans="1:7" x14ac:dyDescent="0.25">
      <c r="A329" s="12" t="s">
        <v>598</v>
      </c>
      <c r="B329" s="13" t="s">
        <v>599</v>
      </c>
      <c r="C329" s="10"/>
      <c r="D329" s="10"/>
      <c r="E329" s="11"/>
      <c r="F329" s="30">
        <f t="shared" si="5"/>
        <v>0</v>
      </c>
      <c r="G329" s="37" t="s">
        <v>713</v>
      </c>
    </row>
    <row r="330" spans="1:7" x14ac:dyDescent="0.25">
      <c r="A330" s="12" t="s">
        <v>600</v>
      </c>
      <c r="B330" s="13" t="s">
        <v>601</v>
      </c>
      <c r="C330" s="10"/>
      <c r="D330" s="10"/>
      <c r="E330" s="11"/>
      <c r="F330" s="30">
        <f t="shared" si="5"/>
        <v>0</v>
      </c>
      <c r="G330" s="37" t="s">
        <v>713</v>
      </c>
    </row>
    <row r="331" spans="1:7" x14ac:dyDescent="0.25">
      <c r="A331" s="8" t="s">
        <v>602</v>
      </c>
      <c r="B331" s="9" t="s">
        <v>603</v>
      </c>
      <c r="C331" s="10" t="s">
        <v>534</v>
      </c>
      <c r="D331" s="10">
        <v>116.25</v>
      </c>
      <c r="E331" s="11">
        <f>VLOOKUP(B331, [1]PRECIOS_MATERIALES!$A:$C, 3, FALSE)</f>
        <v>18454</v>
      </c>
      <c r="F331" s="30">
        <f t="shared" si="5"/>
        <v>2145277.5</v>
      </c>
      <c r="G331" s="37"/>
    </row>
    <row r="332" spans="1:7" x14ac:dyDescent="0.25">
      <c r="A332" s="8" t="s">
        <v>604</v>
      </c>
      <c r="B332" s="9" t="s">
        <v>605</v>
      </c>
      <c r="C332" s="10" t="s">
        <v>534</v>
      </c>
      <c r="D332" s="10">
        <v>252</v>
      </c>
      <c r="E332" s="11">
        <f>VLOOKUP(B332, [1]PRECIOS_MATERIALES!$A:$C, 3, FALSE)</f>
        <v>12576</v>
      </c>
      <c r="F332" s="30">
        <f t="shared" si="5"/>
        <v>3169152</v>
      </c>
      <c r="G332" s="37"/>
    </row>
    <row r="333" spans="1:7" x14ac:dyDescent="0.25">
      <c r="A333" s="8" t="s">
        <v>606</v>
      </c>
      <c r="B333" s="9" t="s">
        <v>607</v>
      </c>
      <c r="C333" s="10" t="s">
        <v>534</v>
      </c>
      <c r="D333" s="10">
        <v>42.6</v>
      </c>
      <c r="E333" s="11">
        <f>VLOOKUP(B333, [1]PRECIOS_MATERIALES!$A:$C, 3, FALSE)</f>
        <v>14214</v>
      </c>
      <c r="F333" s="30">
        <f t="shared" ref="F333:F382" si="6">D333*E333</f>
        <v>605516.4</v>
      </c>
      <c r="G333" s="37"/>
    </row>
    <row r="334" spans="1:7" x14ac:dyDescent="0.25">
      <c r="A334" s="8" t="s">
        <v>608</v>
      </c>
      <c r="B334" s="9" t="s">
        <v>609</v>
      </c>
      <c r="C334" s="10" t="s">
        <v>534</v>
      </c>
      <c r="D334" s="10">
        <v>134.9</v>
      </c>
      <c r="E334" s="11">
        <f>VLOOKUP(B334, [1]PRECIOS_MATERIALES!$A:$C, 3, FALSE)</f>
        <v>27808</v>
      </c>
      <c r="F334" s="30">
        <f t="shared" si="6"/>
        <v>3751299.2</v>
      </c>
      <c r="G334" s="37"/>
    </row>
    <row r="335" spans="1:7" x14ac:dyDescent="0.25">
      <c r="A335" s="8" t="s">
        <v>610</v>
      </c>
      <c r="B335" s="9" t="s">
        <v>611</v>
      </c>
      <c r="C335" s="10" t="s">
        <v>534</v>
      </c>
      <c r="D335" s="10">
        <v>116.25</v>
      </c>
      <c r="E335" s="11">
        <f>VLOOKUP(B335, [1]PRECIOS_MATERIALES!$A:$C, 3, FALSE)</f>
        <v>18454</v>
      </c>
      <c r="F335" s="30">
        <f t="shared" si="6"/>
        <v>2145277.5</v>
      </c>
      <c r="G335" s="37"/>
    </row>
    <row r="336" spans="1:7" x14ac:dyDescent="0.25">
      <c r="A336" s="8" t="s">
        <v>612</v>
      </c>
      <c r="B336" s="9" t="s">
        <v>613</v>
      </c>
      <c r="C336" s="10" t="s">
        <v>534</v>
      </c>
      <c r="D336" s="10">
        <v>13.5</v>
      </c>
      <c r="E336" s="11">
        <f>VLOOKUP(B336, [1]PRECIOS_MATERIALES!$A:$C, 3, FALSE)</f>
        <v>18454</v>
      </c>
      <c r="F336" s="30">
        <f t="shared" si="6"/>
        <v>249129</v>
      </c>
      <c r="G336" s="37"/>
    </row>
    <row r="337" spans="1:7" x14ac:dyDescent="0.25">
      <c r="A337" s="8" t="s">
        <v>614</v>
      </c>
      <c r="B337" s="9" t="s">
        <v>615</v>
      </c>
      <c r="C337" s="10" t="s">
        <v>10</v>
      </c>
      <c r="D337" s="10">
        <v>1</v>
      </c>
      <c r="E337" s="11">
        <f>VLOOKUP(B337, [1]PRECIOS_GENERALES!$A:$C, 3, FALSE)</f>
        <v>1008414</v>
      </c>
      <c r="F337" s="30">
        <f t="shared" si="6"/>
        <v>1008414</v>
      </c>
      <c r="G337" s="37"/>
    </row>
    <row r="338" spans="1:7" x14ac:dyDescent="0.25">
      <c r="A338" s="8" t="s">
        <v>616</v>
      </c>
      <c r="B338" s="9" t="s">
        <v>617</v>
      </c>
      <c r="C338" s="10" t="s">
        <v>10</v>
      </c>
      <c r="D338" s="10">
        <v>1</v>
      </c>
      <c r="E338" s="11">
        <f>VLOOKUP(B338, [1]PRECIOS_GENERALES!$A:$C, 3, FALSE)</f>
        <v>1008414</v>
      </c>
      <c r="F338" s="30">
        <f t="shared" si="6"/>
        <v>1008414</v>
      </c>
      <c r="G338" s="37"/>
    </row>
    <row r="339" spans="1:7" x14ac:dyDescent="0.25">
      <c r="A339" s="8" t="s">
        <v>618</v>
      </c>
      <c r="B339" s="9" t="s">
        <v>619</v>
      </c>
      <c r="C339" s="10" t="s">
        <v>10</v>
      </c>
      <c r="D339" s="10">
        <v>1</v>
      </c>
      <c r="E339" s="11">
        <f>VLOOKUP(B339, [1]PRECIOS_GENERALES!$A:$C, 3, FALSE)</f>
        <v>4757112</v>
      </c>
      <c r="F339" s="30">
        <f t="shared" si="6"/>
        <v>4757112</v>
      </c>
      <c r="G339" s="37"/>
    </row>
    <row r="340" spans="1:7" x14ac:dyDescent="0.25">
      <c r="A340" s="12" t="s">
        <v>620</v>
      </c>
      <c r="B340" s="13" t="s">
        <v>621</v>
      </c>
      <c r="C340" s="10"/>
      <c r="D340" s="10"/>
      <c r="E340" s="11"/>
      <c r="F340" s="30">
        <f t="shared" si="6"/>
        <v>0</v>
      </c>
      <c r="G340" s="37"/>
    </row>
    <row r="341" spans="1:7" x14ac:dyDescent="0.25">
      <c r="A341" s="8" t="s">
        <v>622</v>
      </c>
      <c r="B341" s="9" t="s">
        <v>623</v>
      </c>
      <c r="C341" s="10" t="s">
        <v>10</v>
      </c>
      <c r="D341" s="10">
        <v>1</v>
      </c>
      <c r="E341" s="11">
        <f>VLOOKUP(B341, [1]PRECIOS_GENERALES!$A:$C, 3, FALSE)</f>
        <v>2091702</v>
      </c>
      <c r="F341" s="30">
        <f t="shared" si="6"/>
        <v>2091702</v>
      </c>
      <c r="G341" s="37"/>
    </row>
    <row r="342" spans="1:7" x14ac:dyDescent="0.25">
      <c r="A342" s="12" t="s">
        <v>624</v>
      </c>
      <c r="B342" s="13" t="s">
        <v>625</v>
      </c>
      <c r="C342" s="10"/>
      <c r="D342" s="10"/>
      <c r="E342" s="11"/>
      <c r="F342" s="30">
        <f t="shared" si="6"/>
        <v>0</v>
      </c>
      <c r="G342" s="37" t="s">
        <v>713</v>
      </c>
    </row>
    <row r="343" spans="1:7" x14ac:dyDescent="0.25">
      <c r="A343" s="12" t="s">
        <v>626</v>
      </c>
      <c r="B343" s="13" t="s">
        <v>627</v>
      </c>
      <c r="C343" s="10"/>
      <c r="D343" s="10"/>
      <c r="E343" s="11"/>
      <c r="F343" s="30">
        <f t="shared" si="6"/>
        <v>0</v>
      </c>
      <c r="G343" s="37" t="s">
        <v>713</v>
      </c>
    </row>
    <row r="344" spans="1:7" x14ac:dyDescent="0.25">
      <c r="A344" s="8" t="s">
        <v>628</v>
      </c>
      <c r="B344" s="9" t="s">
        <v>629</v>
      </c>
      <c r="C344" s="10" t="s">
        <v>10</v>
      </c>
      <c r="D344" s="10">
        <v>1</v>
      </c>
      <c r="E344" s="11">
        <f>VLOOKUP(B344, [1]PRECIOS_GENERALES!$A:$C, 3, FALSE)</f>
        <v>1079864</v>
      </c>
      <c r="F344" s="30">
        <f t="shared" si="6"/>
        <v>1079864</v>
      </c>
      <c r="G344" s="37"/>
    </row>
    <row r="345" spans="1:7" x14ac:dyDescent="0.25">
      <c r="A345" s="8" t="s">
        <v>630</v>
      </c>
      <c r="B345" s="9" t="s">
        <v>631</v>
      </c>
      <c r="C345" s="10" t="s">
        <v>10</v>
      </c>
      <c r="D345" s="10">
        <v>1</v>
      </c>
      <c r="E345" s="11">
        <f>VLOOKUP(B345, [1]PRECIOS_GENERALES!$A:$C, 3, FALSE)</f>
        <v>984722</v>
      </c>
      <c r="F345" s="30">
        <f t="shared" si="6"/>
        <v>984722</v>
      </c>
      <c r="G345" s="37"/>
    </row>
    <row r="346" spans="1:7" x14ac:dyDescent="0.25">
      <c r="A346" s="16" t="s">
        <v>632</v>
      </c>
      <c r="B346" s="17" t="s">
        <v>633</v>
      </c>
      <c r="C346" s="18"/>
      <c r="D346" s="10"/>
      <c r="E346" s="11"/>
      <c r="F346" s="30">
        <f t="shared" si="6"/>
        <v>0</v>
      </c>
      <c r="G346" s="37" t="s">
        <v>713</v>
      </c>
    </row>
    <row r="347" spans="1:7" x14ac:dyDescent="0.25">
      <c r="A347" s="19" t="s">
        <v>634</v>
      </c>
      <c r="B347" s="20" t="s">
        <v>635</v>
      </c>
      <c r="C347" s="18" t="s">
        <v>534</v>
      </c>
      <c r="D347" s="10">
        <v>177.5</v>
      </c>
      <c r="E347" s="11">
        <f>VLOOKUP(B347, [1]PRECIOS_MATERIALES!$A:$C, 3, FALSE)</f>
        <v>27761</v>
      </c>
      <c r="F347" s="30">
        <f t="shared" si="6"/>
        <v>4927577.5</v>
      </c>
      <c r="G347" s="37"/>
    </row>
    <row r="348" spans="1:7" x14ac:dyDescent="0.25">
      <c r="A348" s="16" t="s">
        <v>636</v>
      </c>
      <c r="B348" s="17" t="s">
        <v>637</v>
      </c>
      <c r="C348" s="18"/>
      <c r="D348" s="10"/>
      <c r="E348" s="11"/>
      <c r="F348" s="30">
        <f t="shared" si="6"/>
        <v>0</v>
      </c>
      <c r="G348" s="37" t="s">
        <v>713</v>
      </c>
    </row>
    <row r="349" spans="1:7" x14ac:dyDescent="0.25">
      <c r="A349" s="8" t="s">
        <v>638</v>
      </c>
      <c r="B349" s="9" t="s">
        <v>635</v>
      </c>
      <c r="C349" s="10" t="s">
        <v>534</v>
      </c>
      <c r="D349" s="10">
        <v>252</v>
      </c>
      <c r="E349" s="11">
        <f>VLOOKUP(B349, [1]PRECIOS_MATERIALES!$A:$C, 3, FALSE)</f>
        <v>27761</v>
      </c>
      <c r="F349" s="30">
        <f t="shared" si="6"/>
        <v>6995772</v>
      </c>
      <c r="G349" s="37"/>
    </row>
    <row r="350" spans="1:7" x14ac:dyDescent="0.25">
      <c r="A350" s="12" t="s">
        <v>639</v>
      </c>
      <c r="B350" s="13" t="s">
        <v>561</v>
      </c>
      <c r="C350" s="10"/>
      <c r="D350" s="10"/>
      <c r="E350" s="11"/>
      <c r="F350" s="30">
        <f t="shared" si="6"/>
        <v>0</v>
      </c>
      <c r="G350" s="37" t="s">
        <v>713</v>
      </c>
    </row>
    <row r="351" spans="1:7" x14ac:dyDescent="0.25">
      <c r="A351" s="8" t="s">
        <v>640</v>
      </c>
      <c r="B351" s="9" t="s">
        <v>641</v>
      </c>
      <c r="C351" s="10" t="s">
        <v>534</v>
      </c>
      <c r="D351" s="10">
        <v>116.25</v>
      </c>
      <c r="E351" s="11">
        <f>VLOOKUP(B351, [1]PRECIOS_MATERIALES!$A:$C, 3, FALSE)</f>
        <v>22714</v>
      </c>
      <c r="F351" s="30">
        <f t="shared" si="6"/>
        <v>2640502.5</v>
      </c>
      <c r="G351" s="37"/>
    </row>
    <row r="352" spans="1:7" x14ac:dyDescent="0.25">
      <c r="A352" s="40" t="s">
        <v>642</v>
      </c>
      <c r="B352" s="41" t="s">
        <v>643</v>
      </c>
      <c r="C352" s="42" t="s">
        <v>534</v>
      </c>
      <c r="D352" s="42">
        <v>116.25</v>
      </c>
      <c r="E352" s="43"/>
      <c r="F352" s="44">
        <f t="shared" si="6"/>
        <v>0</v>
      </c>
      <c r="G352" s="39" t="s">
        <v>711</v>
      </c>
    </row>
    <row r="353" spans="1:7" x14ac:dyDescent="0.25">
      <c r="A353" s="12" t="s">
        <v>644</v>
      </c>
      <c r="B353" s="13" t="s">
        <v>645</v>
      </c>
      <c r="C353" s="10"/>
      <c r="D353" s="10"/>
      <c r="E353" s="11"/>
      <c r="F353" s="30">
        <f t="shared" si="6"/>
        <v>0</v>
      </c>
      <c r="G353" s="37" t="s">
        <v>713</v>
      </c>
    </row>
    <row r="354" spans="1:7" x14ac:dyDescent="0.25">
      <c r="A354" s="12" t="s">
        <v>646</v>
      </c>
      <c r="B354" s="13" t="s">
        <v>647</v>
      </c>
      <c r="C354" s="10"/>
      <c r="D354" s="10"/>
      <c r="E354" s="11"/>
      <c r="F354" s="30">
        <f t="shared" si="6"/>
        <v>0</v>
      </c>
      <c r="G354" s="37" t="s">
        <v>713</v>
      </c>
    </row>
    <row r="355" spans="1:7" x14ac:dyDescent="0.25">
      <c r="A355" s="12" t="s">
        <v>648</v>
      </c>
      <c r="B355" s="13" t="s">
        <v>649</v>
      </c>
      <c r="C355" s="10"/>
      <c r="D355" s="10"/>
      <c r="E355" s="11"/>
      <c r="F355" s="30">
        <f t="shared" si="6"/>
        <v>0</v>
      </c>
      <c r="G355" s="37" t="s">
        <v>713</v>
      </c>
    </row>
    <row r="356" spans="1:7" x14ac:dyDescent="0.25">
      <c r="A356" s="8" t="s">
        <v>650</v>
      </c>
      <c r="B356" s="9" t="s">
        <v>651</v>
      </c>
      <c r="C356" s="10" t="s">
        <v>18</v>
      </c>
      <c r="D356" s="10">
        <v>2</v>
      </c>
      <c r="E356" s="11">
        <f>VLOOKUP(B356, [1]PRECIOS_MATERIALES!$A:$C, 3, FALSE)</f>
        <v>1434745</v>
      </c>
      <c r="F356" s="30">
        <f t="shared" si="6"/>
        <v>2869490</v>
      </c>
      <c r="G356" s="37"/>
    </row>
    <row r="357" spans="1:7" x14ac:dyDescent="0.25">
      <c r="A357" s="8" t="s">
        <v>652</v>
      </c>
      <c r="B357" s="9" t="s">
        <v>653</v>
      </c>
      <c r="C357" s="10" t="s">
        <v>18</v>
      </c>
      <c r="D357" s="10">
        <v>1</v>
      </c>
      <c r="E357" s="11">
        <f>VLOOKUP(B357, [1]PRECIOS_MATERIALES!$A:$C, 3, FALSE)</f>
        <v>3008398</v>
      </c>
      <c r="F357" s="30">
        <f t="shared" si="6"/>
        <v>3008398</v>
      </c>
      <c r="G357" s="37"/>
    </row>
    <row r="358" spans="1:7" x14ac:dyDescent="0.25">
      <c r="A358" s="12" t="s">
        <v>654</v>
      </c>
      <c r="B358" s="13" t="s">
        <v>655</v>
      </c>
      <c r="C358" s="10"/>
      <c r="D358" s="10"/>
      <c r="E358" s="11"/>
      <c r="F358" s="30">
        <f t="shared" si="6"/>
        <v>0</v>
      </c>
      <c r="G358" s="37" t="s">
        <v>713</v>
      </c>
    </row>
    <row r="359" spans="1:7" x14ac:dyDescent="0.25">
      <c r="A359" s="8" t="s">
        <v>656</v>
      </c>
      <c r="B359" s="9" t="s">
        <v>657</v>
      </c>
      <c r="C359" s="10" t="s">
        <v>10</v>
      </c>
      <c r="D359" s="10">
        <v>1</v>
      </c>
      <c r="E359" s="11">
        <f>VLOOKUP(B359, [1]PRECIOS_GENERALES!$A:$C, 3, FALSE)</f>
        <v>238807</v>
      </c>
      <c r="F359" s="30">
        <f t="shared" si="6"/>
        <v>238807</v>
      </c>
      <c r="G359" s="37"/>
    </row>
    <row r="360" spans="1:7" x14ac:dyDescent="0.25">
      <c r="A360" s="8" t="s">
        <v>658</v>
      </c>
      <c r="B360" s="9" t="s">
        <v>659</v>
      </c>
      <c r="C360" s="10" t="s">
        <v>10</v>
      </c>
      <c r="D360" s="10">
        <v>1</v>
      </c>
      <c r="E360" s="11">
        <f>VLOOKUP(B360, [1]PRECIOS_GENERALES!$A:$C, 3, FALSE)</f>
        <v>1120776</v>
      </c>
      <c r="F360" s="30">
        <f t="shared" si="6"/>
        <v>1120776</v>
      </c>
      <c r="G360" s="37"/>
    </row>
    <row r="361" spans="1:7" x14ac:dyDescent="0.25">
      <c r="A361" s="8" t="s">
        <v>660</v>
      </c>
      <c r="B361" s="9" t="s">
        <v>661</v>
      </c>
      <c r="C361" s="10" t="s">
        <v>10</v>
      </c>
      <c r="D361" s="10">
        <v>1</v>
      </c>
      <c r="E361" s="11">
        <f>VLOOKUP(B361, [1]PRECIOS_GENERALES!$A:$C, 3, FALSE)</f>
        <v>278006</v>
      </c>
      <c r="F361" s="30">
        <f t="shared" si="6"/>
        <v>278006</v>
      </c>
      <c r="G361" s="37"/>
    </row>
    <row r="362" spans="1:7" x14ac:dyDescent="0.25">
      <c r="A362" s="12" t="s">
        <v>662</v>
      </c>
      <c r="B362" s="13" t="s">
        <v>663</v>
      </c>
      <c r="C362" s="10"/>
      <c r="D362" s="10"/>
      <c r="E362" s="11"/>
      <c r="F362" s="30">
        <f t="shared" si="6"/>
        <v>0</v>
      </c>
      <c r="G362" s="37" t="s">
        <v>713</v>
      </c>
    </row>
    <row r="363" spans="1:7" x14ac:dyDescent="0.25">
      <c r="A363" s="8" t="s">
        <v>664</v>
      </c>
      <c r="B363" s="9" t="s">
        <v>665</v>
      </c>
      <c r="C363" s="10" t="s">
        <v>10</v>
      </c>
      <c r="D363" s="10">
        <v>1</v>
      </c>
      <c r="E363" s="11">
        <f>VLOOKUP(B363, [1]PRECIOS_GENERALES!$A:$C, 3, FALSE)</f>
        <v>425286</v>
      </c>
      <c r="F363" s="30">
        <f t="shared" si="6"/>
        <v>425286</v>
      </c>
      <c r="G363" s="37"/>
    </row>
    <row r="364" spans="1:7" x14ac:dyDescent="0.25">
      <c r="A364" s="8" t="s">
        <v>666</v>
      </c>
      <c r="B364" s="9" t="s">
        <v>667</v>
      </c>
      <c r="C364" s="10" t="s">
        <v>18</v>
      </c>
      <c r="D364" s="10">
        <v>5</v>
      </c>
      <c r="E364" s="11">
        <f>VLOOKUP(B364, [1]PRECIOS_MATERIALES!$A:$C, 3, FALSE)</f>
        <v>418150</v>
      </c>
      <c r="F364" s="30">
        <f t="shared" si="6"/>
        <v>2090750</v>
      </c>
      <c r="G364" s="37"/>
    </row>
    <row r="365" spans="1:7" x14ac:dyDescent="0.25">
      <c r="A365" s="12" t="s">
        <v>668</v>
      </c>
      <c r="B365" s="13" t="s">
        <v>669</v>
      </c>
      <c r="C365" s="10"/>
      <c r="D365" s="10"/>
      <c r="E365" s="11"/>
      <c r="F365" s="30">
        <f t="shared" si="6"/>
        <v>0</v>
      </c>
      <c r="G365" s="37" t="s">
        <v>713</v>
      </c>
    </row>
    <row r="366" spans="1:7" x14ac:dyDescent="0.25">
      <c r="A366" s="12" t="s">
        <v>670</v>
      </c>
      <c r="B366" s="13" t="s">
        <v>671</v>
      </c>
      <c r="C366" s="10"/>
      <c r="D366" s="10"/>
      <c r="E366" s="11"/>
      <c r="F366" s="30">
        <f t="shared" si="6"/>
        <v>0</v>
      </c>
      <c r="G366" s="37" t="s">
        <v>713</v>
      </c>
    </row>
    <row r="367" spans="1:7" x14ac:dyDescent="0.25">
      <c r="A367" s="8" t="s">
        <v>672</v>
      </c>
      <c r="B367" s="9" t="s">
        <v>673</v>
      </c>
      <c r="C367" s="10" t="s">
        <v>18</v>
      </c>
      <c r="D367" s="10">
        <v>2</v>
      </c>
      <c r="E367" s="11">
        <f>VLOOKUP(B367, [1]PRECIOS_MATERIALES!$A:$C, 3, FALSE)</f>
        <v>310442</v>
      </c>
      <c r="F367" s="30">
        <f t="shared" si="6"/>
        <v>620884</v>
      </c>
      <c r="G367" s="37"/>
    </row>
    <row r="368" spans="1:7" x14ac:dyDescent="0.25">
      <c r="A368" s="8" t="s">
        <v>674</v>
      </c>
      <c r="B368" s="9" t="s">
        <v>675</v>
      </c>
      <c r="C368" s="10" t="s">
        <v>18</v>
      </c>
      <c r="D368" s="10">
        <v>2</v>
      </c>
      <c r="E368" s="11">
        <f>VLOOKUP(B368, [1]PRECIOS_MATERIALES!$A:$C, 3, FALSE)</f>
        <v>310442</v>
      </c>
      <c r="F368" s="30">
        <f t="shared" si="6"/>
        <v>620884</v>
      </c>
      <c r="G368" s="37"/>
    </row>
    <row r="369" spans="1:7" x14ac:dyDescent="0.25">
      <c r="A369" s="8" t="s">
        <v>676</v>
      </c>
      <c r="B369" s="9" t="s">
        <v>677</v>
      </c>
      <c r="C369" s="10" t="s">
        <v>534</v>
      </c>
      <c r="D369" s="10">
        <v>2</v>
      </c>
      <c r="E369" s="11">
        <f>VLOOKUP(B369, [1]PRECIOS_MATERIALES!$A:$C, 3, FALSE)</f>
        <v>310442</v>
      </c>
      <c r="F369" s="30">
        <f t="shared" si="6"/>
        <v>620884</v>
      </c>
      <c r="G369" s="37"/>
    </row>
    <row r="370" spans="1:7" x14ac:dyDescent="0.25">
      <c r="A370" s="12" t="s">
        <v>678</v>
      </c>
      <c r="B370" s="13" t="s">
        <v>679</v>
      </c>
      <c r="C370" s="10"/>
      <c r="D370" s="10"/>
      <c r="E370" s="11"/>
      <c r="F370" s="30">
        <f t="shared" si="6"/>
        <v>0</v>
      </c>
      <c r="G370" s="37" t="s">
        <v>713</v>
      </c>
    </row>
    <row r="371" spans="1:7" x14ac:dyDescent="0.25">
      <c r="A371" s="12" t="s">
        <v>680</v>
      </c>
      <c r="B371" s="13" t="s">
        <v>681</v>
      </c>
      <c r="C371" s="10"/>
      <c r="D371" s="10"/>
      <c r="E371" s="11"/>
      <c r="F371" s="30">
        <f t="shared" si="6"/>
        <v>0</v>
      </c>
      <c r="G371" s="37" t="s">
        <v>713</v>
      </c>
    </row>
    <row r="372" spans="1:7" x14ac:dyDescent="0.25">
      <c r="A372" s="12" t="s">
        <v>682</v>
      </c>
      <c r="B372" s="13" t="s">
        <v>683</v>
      </c>
      <c r="C372" s="10"/>
      <c r="D372" s="10"/>
      <c r="E372" s="11"/>
      <c r="F372" s="30">
        <f t="shared" si="6"/>
        <v>0</v>
      </c>
      <c r="G372" s="37" t="s">
        <v>713</v>
      </c>
    </row>
    <row r="373" spans="1:7" x14ac:dyDescent="0.25">
      <c r="A373" s="8" t="s">
        <v>684</v>
      </c>
      <c r="B373" s="9" t="s">
        <v>685</v>
      </c>
      <c r="C373" s="10" t="s">
        <v>18</v>
      </c>
      <c r="D373" s="10">
        <v>5</v>
      </c>
      <c r="E373" s="11">
        <f>VLOOKUP(B373, [1]PRECIOS_MATERIALES!$A:$C, 3, FALSE)</f>
        <v>38057</v>
      </c>
      <c r="F373" s="30">
        <f t="shared" si="6"/>
        <v>190285</v>
      </c>
      <c r="G373" s="37"/>
    </row>
    <row r="374" spans="1:7" x14ac:dyDescent="0.25">
      <c r="A374" s="8" t="s">
        <v>686</v>
      </c>
      <c r="B374" s="9" t="s">
        <v>687</v>
      </c>
      <c r="C374" s="10" t="s">
        <v>18</v>
      </c>
      <c r="D374" s="10">
        <v>1</v>
      </c>
      <c r="E374" s="11">
        <f>VLOOKUP(B374, [1]PRECIOS_MATERIALES!$A:$C, 3, FALSE)</f>
        <v>38057</v>
      </c>
      <c r="F374" s="30">
        <f t="shared" si="6"/>
        <v>38057</v>
      </c>
      <c r="G374" s="37"/>
    </row>
    <row r="375" spans="1:7" x14ac:dyDescent="0.25">
      <c r="A375" s="12" t="s">
        <v>688</v>
      </c>
      <c r="B375" s="13" t="s">
        <v>689</v>
      </c>
      <c r="C375" s="10"/>
      <c r="D375" s="10"/>
      <c r="E375" s="11"/>
      <c r="F375" s="30">
        <f t="shared" si="6"/>
        <v>0</v>
      </c>
      <c r="G375" s="37" t="s">
        <v>713</v>
      </c>
    </row>
    <row r="376" spans="1:7" x14ac:dyDescent="0.25">
      <c r="A376" s="8" t="s">
        <v>690</v>
      </c>
      <c r="B376" s="9" t="s">
        <v>691</v>
      </c>
      <c r="C376" s="10" t="s">
        <v>10</v>
      </c>
      <c r="D376" s="10">
        <v>1</v>
      </c>
      <c r="E376" s="11">
        <f>VLOOKUP(B376, [1]PRECIOS_GENERALES!$A:$C, 3, FALSE)</f>
        <v>475711</v>
      </c>
      <c r="F376" s="30">
        <f t="shared" si="6"/>
        <v>475711</v>
      </c>
      <c r="G376" s="37"/>
    </row>
    <row r="377" spans="1:7" x14ac:dyDescent="0.25">
      <c r="A377" s="8" t="s">
        <v>692</v>
      </c>
      <c r="B377" s="9" t="s">
        <v>693</v>
      </c>
      <c r="C377" s="10" t="s">
        <v>10</v>
      </c>
      <c r="D377" s="10">
        <v>1</v>
      </c>
      <c r="E377" s="11">
        <f>VLOOKUP(B377, [1]PRECIOS_GENERALES!$A:$C, 3, FALSE)</f>
        <v>475711</v>
      </c>
      <c r="F377" s="30">
        <f t="shared" si="6"/>
        <v>475711</v>
      </c>
      <c r="G377" s="37"/>
    </row>
    <row r="378" spans="1:7" x14ac:dyDescent="0.25">
      <c r="A378" s="12" t="s">
        <v>694</v>
      </c>
      <c r="B378" s="13" t="s">
        <v>695</v>
      </c>
      <c r="C378" s="10"/>
      <c r="D378" s="10"/>
      <c r="E378" s="11"/>
      <c r="F378" s="30">
        <f t="shared" si="6"/>
        <v>0</v>
      </c>
      <c r="G378" s="37" t="s">
        <v>713</v>
      </c>
    </row>
    <row r="379" spans="1:7" x14ac:dyDescent="0.25">
      <c r="A379" s="8" t="s">
        <v>696</v>
      </c>
      <c r="B379" s="9" t="s">
        <v>697</v>
      </c>
      <c r="C379" s="10" t="s">
        <v>534</v>
      </c>
      <c r="D379" s="10">
        <v>45</v>
      </c>
      <c r="E379" s="11">
        <f>VLOOKUP(B379, [1]PRECIOS_MATERIALES!$A:$C, 3, FALSE)</f>
        <v>25688</v>
      </c>
      <c r="F379" s="30">
        <f t="shared" si="6"/>
        <v>1155960</v>
      </c>
      <c r="G379" s="37"/>
    </row>
    <row r="380" spans="1:7" x14ac:dyDescent="0.25">
      <c r="A380" s="8" t="s">
        <v>698</v>
      </c>
      <c r="B380" s="9" t="s">
        <v>699</v>
      </c>
      <c r="C380" s="10" t="s">
        <v>534</v>
      </c>
      <c r="D380" s="10">
        <v>45</v>
      </c>
      <c r="E380" s="11">
        <f>VLOOKUP(B380, [1]PRECIOS_MATERIALES!$A:$C, 3, FALSE)</f>
        <v>24737</v>
      </c>
      <c r="F380" s="30">
        <f t="shared" si="6"/>
        <v>1113165</v>
      </c>
      <c r="G380" s="37"/>
    </row>
    <row r="381" spans="1:7" x14ac:dyDescent="0.25">
      <c r="A381" s="8" t="s">
        <v>700</v>
      </c>
      <c r="B381" s="9" t="s">
        <v>701</v>
      </c>
      <c r="C381" s="10" t="s">
        <v>534</v>
      </c>
      <c r="D381" s="10">
        <v>116.25</v>
      </c>
      <c r="E381" s="11">
        <f>VLOOKUP(B381, [1]PRECIOS_MATERIALES!$A:$C, 3, FALSE)</f>
        <v>28543</v>
      </c>
      <c r="F381" s="30">
        <f t="shared" si="6"/>
        <v>3318123.75</v>
      </c>
      <c r="G381" s="37"/>
    </row>
    <row r="382" spans="1:7" x14ac:dyDescent="0.25">
      <c r="A382" s="12" t="s">
        <v>702</v>
      </c>
      <c r="B382" s="13" t="s">
        <v>703</v>
      </c>
      <c r="C382" s="10" t="s">
        <v>10</v>
      </c>
      <c r="D382" s="10">
        <v>1</v>
      </c>
      <c r="E382" s="15">
        <v>2854267</v>
      </c>
      <c r="F382" s="30">
        <f t="shared" si="6"/>
        <v>2854267</v>
      </c>
      <c r="G382" s="37"/>
    </row>
    <row r="383" spans="1:7" x14ac:dyDescent="0.25">
      <c r="B383" s="9"/>
      <c r="C383" s="10"/>
      <c r="D383" s="10"/>
      <c r="E383" s="11"/>
      <c r="G383" s="37"/>
    </row>
    <row r="384" spans="1:7" x14ac:dyDescent="0.25">
      <c r="A384" s="23"/>
      <c r="B384" s="34" t="s">
        <v>704</v>
      </c>
      <c r="C384" s="34"/>
      <c r="D384" s="34"/>
      <c r="E384" s="24"/>
      <c r="F384" s="31">
        <f>SUM(F312:F383)</f>
        <v>192596100.53</v>
      </c>
      <c r="G384" s="37"/>
    </row>
    <row r="385" spans="1:7" x14ac:dyDescent="0.25">
      <c r="A385" s="23"/>
      <c r="B385" s="34" t="s">
        <v>705</v>
      </c>
      <c r="C385" s="34"/>
      <c r="D385" s="34"/>
      <c r="E385" s="25">
        <v>0.15</v>
      </c>
      <c r="F385" s="31">
        <f>F384*E385</f>
        <v>28889415.079500001</v>
      </c>
      <c r="G385" s="37"/>
    </row>
    <row r="386" spans="1:7" x14ac:dyDescent="0.25">
      <c r="A386" s="23"/>
      <c r="B386" s="34" t="s">
        <v>706</v>
      </c>
      <c r="C386" s="34"/>
      <c r="D386" s="34"/>
      <c r="E386" s="25">
        <v>0.15</v>
      </c>
      <c r="F386" s="31">
        <f>F384*E386</f>
        <v>28889415.079500001</v>
      </c>
      <c r="G386" s="37"/>
    </row>
    <row r="387" spans="1:7" x14ac:dyDescent="0.25">
      <c r="A387" s="23"/>
      <c r="B387" s="34" t="s">
        <v>707</v>
      </c>
      <c r="C387" s="34"/>
      <c r="D387" s="34"/>
      <c r="E387" s="25"/>
      <c r="F387" s="31">
        <f>SUM(F384,F385,F386)</f>
        <v>250374930.68899998</v>
      </c>
      <c r="G387" s="37"/>
    </row>
    <row r="388" spans="1:7" x14ac:dyDescent="0.25">
      <c r="A388" s="23"/>
      <c r="B388" s="34" t="s">
        <v>708</v>
      </c>
      <c r="C388" s="34"/>
      <c r="D388" s="34"/>
      <c r="E388" s="25">
        <v>0.19</v>
      </c>
      <c r="F388" s="31">
        <f>F387*19%</f>
        <v>47571236.830909997</v>
      </c>
      <c r="G388" s="37"/>
    </row>
    <row r="389" spans="1:7" x14ac:dyDescent="0.25">
      <c r="A389" s="23"/>
      <c r="B389" s="34" t="s">
        <v>709</v>
      </c>
      <c r="C389" s="34"/>
      <c r="D389" s="34"/>
      <c r="E389" s="25"/>
      <c r="F389" s="31">
        <f>SUM(F387,F388)</f>
        <v>297946167.51990998</v>
      </c>
      <c r="G389" s="37"/>
    </row>
    <row r="392" spans="1:7" x14ac:dyDescent="0.25">
      <c r="F392" s="27"/>
    </row>
  </sheetData>
  <autoFilter ref="A6:F382" xr:uid="{E0536E1F-E059-467B-AFB7-F0991005B9DE}"/>
  <mergeCells count="8">
    <mergeCell ref="B388:D388"/>
    <mergeCell ref="B389:D389"/>
    <mergeCell ref="A2:F2"/>
    <mergeCell ref="A3:F3"/>
    <mergeCell ref="B384:D384"/>
    <mergeCell ref="B385:D385"/>
    <mergeCell ref="B386:D386"/>
    <mergeCell ref="B387:D387"/>
  </mergeCells>
  <pageMargins left="0.7" right="0.7" top="0.75" bottom="0.75" header="0.3" footer="0.3"/>
  <pageSetup scale="6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 Oficial</vt:lpstr>
      <vt:lpstr>'Formulario Oficial'!Área_de_impresión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ALEJANDRO ANTONIO SANTANDER CARDOZA</cp:lastModifiedBy>
  <dcterms:created xsi:type="dcterms:W3CDTF">2026-09-29T02:52:22Z</dcterms:created>
  <dcterms:modified xsi:type="dcterms:W3CDTF">2026-10-20T21:51:17Z</dcterms:modified>
</cp:coreProperties>
</file>